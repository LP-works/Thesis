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Suresh kumar\OneDrive\Desktop\Lekshmi\BONN-L\"/>
    </mc:Choice>
  </mc:AlternateContent>
  <xr:revisionPtr revIDLastSave="0" documentId="13_ncr:1_{774A78BA-65BD-499C-8C3F-6AC272411C61}" xr6:coauthVersionLast="47" xr6:coauthVersionMax="47" xr10:uidLastSave="{00000000-0000-0000-0000-000000000000}"/>
  <bookViews>
    <workbookView xWindow="-108" yWindow="-108" windowWidth="18648" windowHeight="11784" xr2:uid="{6BE63F71-0277-4269-9823-9558E7E9A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1" i="1" l="1"/>
  <c r="O201" i="1"/>
  <c r="N201" i="1"/>
  <c r="L201" i="1"/>
  <c r="M200" i="1"/>
  <c r="O200" i="1"/>
  <c r="N200" i="1"/>
  <c r="L200" i="1"/>
  <c r="M199" i="1"/>
  <c r="O199" i="1"/>
  <c r="N199" i="1"/>
  <c r="L199" i="1"/>
  <c r="M191" i="1"/>
  <c r="O191" i="1"/>
  <c r="N191" i="1"/>
  <c r="L191" i="1"/>
  <c r="M190" i="1"/>
  <c r="O190" i="1"/>
  <c r="N190" i="1"/>
  <c r="L190" i="1"/>
  <c r="M189" i="1"/>
  <c r="O189" i="1"/>
  <c r="N189" i="1"/>
  <c r="L189" i="1"/>
  <c r="L157" i="1"/>
  <c r="M198" i="1"/>
  <c r="O198" i="1"/>
  <c r="N198" i="1"/>
  <c r="L198" i="1"/>
  <c r="M197" i="1"/>
  <c r="O197" i="1"/>
  <c r="N197" i="1"/>
  <c r="L197" i="1"/>
  <c r="M196" i="1"/>
  <c r="O196" i="1"/>
  <c r="N196" i="1"/>
  <c r="L196" i="1"/>
  <c r="L195" i="1"/>
  <c r="M195" i="1"/>
  <c r="O195" i="1"/>
  <c r="N195" i="1"/>
  <c r="M194" i="1"/>
  <c r="O194" i="1"/>
  <c r="N194" i="1"/>
  <c r="L194" i="1"/>
  <c r="M193" i="1"/>
  <c r="O193" i="1"/>
  <c r="N193" i="1"/>
  <c r="L193" i="1"/>
  <c r="M192" i="1"/>
  <c r="O192" i="1"/>
  <c r="N192" i="1"/>
  <c r="L192" i="1"/>
  <c r="O188" i="1"/>
  <c r="N188" i="1"/>
  <c r="L188" i="1"/>
  <c r="O187" i="1"/>
  <c r="N187" i="1"/>
  <c r="L187" i="1"/>
  <c r="M185" i="1"/>
  <c r="M186" i="1"/>
  <c r="M187" i="1"/>
  <c r="M188" i="1"/>
  <c r="O186" i="1"/>
  <c r="N186" i="1"/>
  <c r="L186" i="1"/>
  <c r="O185" i="1"/>
  <c r="N185" i="1"/>
  <c r="L185" i="1"/>
  <c r="M184" i="1"/>
  <c r="O184" i="1"/>
  <c r="N184" i="1"/>
  <c r="L184" i="1"/>
  <c r="M183" i="1"/>
  <c r="O183" i="1"/>
  <c r="N183" i="1"/>
  <c r="L183" i="1"/>
  <c r="L182" i="1"/>
  <c r="M182" i="1"/>
  <c r="O182" i="1"/>
  <c r="N182" i="1"/>
  <c r="M181" i="1"/>
  <c r="O181" i="1"/>
  <c r="N181" i="1"/>
  <c r="L181" i="1"/>
  <c r="M180" i="1"/>
  <c r="O180" i="1"/>
  <c r="N180" i="1"/>
  <c r="L180" i="1"/>
  <c r="M179" i="1"/>
  <c r="O179" i="1"/>
  <c r="N179" i="1"/>
  <c r="L179" i="1"/>
  <c r="M178" i="1"/>
  <c r="O178" i="1"/>
  <c r="N178" i="1"/>
  <c r="L178" i="1"/>
  <c r="M177" i="1"/>
  <c r="O177" i="1"/>
  <c r="N177" i="1"/>
  <c r="L177" i="1"/>
  <c r="M176" i="1"/>
  <c r="O176" i="1"/>
  <c r="N176" i="1"/>
  <c r="L176" i="1"/>
  <c r="M175" i="1"/>
  <c r="O175" i="1"/>
  <c r="N175" i="1"/>
  <c r="L175" i="1"/>
  <c r="M174" i="1"/>
  <c r="N174" i="1"/>
  <c r="L174" i="1"/>
  <c r="N173" i="1"/>
  <c r="O170" i="1"/>
  <c r="O171" i="1"/>
  <c r="O172" i="1"/>
  <c r="O173" i="1"/>
  <c r="O174" i="1"/>
  <c r="N170" i="1"/>
  <c r="N171" i="1"/>
  <c r="N172" i="1"/>
  <c r="L170" i="1"/>
  <c r="L171" i="1"/>
  <c r="L172" i="1"/>
  <c r="L173" i="1"/>
  <c r="M166" i="1"/>
  <c r="M167" i="1"/>
  <c r="M168" i="1"/>
  <c r="M169" i="1"/>
  <c r="M170" i="1"/>
  <c r="M171" i="1"/>
  <c r="M172" i="1"/>
  <c r="M173" i="1"/>
  <c r="O169" i="1"/>
  <c r="N169" i="1"/>
  <c r="L169" i="1"/>
  <c r="O168" i="1"/>
  <c r="N168" i="1"/>
  <c r="L168" i="1"/>
  <c r="O167" i="1"/>
  <c r="N167" i="1"/>
  <c r="L167" i="1"/>
  <c r="O166" i="1"/>
  <c r="N166" i="1"/>
  <c r="L166" i="1"/>
  <c r="M165" i="1"/>
  <c r="O165" i="1"/>
  <c r="N165" i="1"/>
  <c r="L165" i="1"/>
  <c r="M164" i="1"/>
  <c r="O164" i="1"/>
  <c r="N164" i="1"/>
  <c r="L164" i="1"/>
  <c r="L163" i="1"/>
  <c r="L162" i="1"/>
  <c r="L161" i="1"/>
  <c r="L160" i="1"/>
  <c r="O157" i="1"/>
  <c r="O158" i="1"/>
  <c r="O159" i="1"/>
  <c r="O160" i="1"/>
  <c r="O161" i="1"/>
  <c r="O162" i="1"/>
  <c r="O163" i="1"/>
  <c r="N157" i="1"/>
  <c r="N158" i="1"/>
  <c r="N159" i="1"/>
  <c r="N160" i="1"/>
  <c r="N161" i="1"/>
  <c r="N162" i="1"/>
  <c r="N163" i="1"/>
  <c r="M157" i="1"/>
  <c r="M158" i="1"/>
  <c r="M159" i="1"/>
  <c r="M160" i="1"/>
  <c r="M161" i="1"/>
  <c r="M162" i="1"/>
  <c r="M163" i="1"/>
  <c r="L159" i="1"/>
  <c r="L158" i="1"/>
  <c r="M156" i="1"/>
  <c r="O156" i="1"/>
  <c r="N156" i="1"/>
  <c r="L156" i="1"/>
  <c r="M155" i="1"/>
  <c r="O155" i="1"/>
  <c r="N155" i="1"/>
  <c r="L155" i="1"/>
  <c r="M154" i="1"/>
  <c r="O154" i="1"/>
  <c r="N154" i="1"/>
  <c r="L154" i="1"/>
  <c r="M153" i="1"/>
  <c r="O153" i="1"/>
  <c r="N153" i="1"/>
  <c r="L153" i="1"/>
  <c r="M152" i="1"/>
  <c r="L152" i="1"/>
  <c r="O152" i="1"/>
  <c r="N152" i="1"/>
  <c r="M151" i="1"/>
  <c r="O151" i="1"/>
  <c r="N151" i="1"/>
  <c r="L151" i="1"/>
  <c r="M150" i="1"/>
  <c r="O150" i="1"/>
  <c r="N150" i="1"/>
  <c r="L150" i="1"/>
  <c r="M149" i="1"/>
  <c r="O149" i="1"/>
  <c r="N149" i="1"/>
  <c r="L149" i="1"/>
  <c r="M148" i="1"/>
  <c r="O148" i="1"/>
  <c r="N148" i="1"/>
  <c r="L148" i="1"/>
  <c r="M147" i="1"/>
  <c r="O147" i="1"/>
  <c r="N147" i="1"/>
  <c r="L147" i="1"/>
  <c r="M146" i="1"/>
  <c r="O146" i="1"/>
  <c r="N146" i="1"/>
  <c r="L146" i="1"/>
  <c r="M145" i="1"/>
  <c r="O145" i="1"/>
  <c r="N145" i="1"/>
  <c r="L145" i="1"/>
  <c r="M144" i="1"/>
  <c r="O144" i="1"/>
  <c r="N144" i="1"/>
  <c r="L144" i="1"/>
  <c r="M143" i="1"/>
  <c r="O143" i="1"/>
  <c r="N143" i="1"/>
  <c r="L143" i="1"/>
  <c r="M142" i="1"/>
  <c r="O142" i="1"/>
  <c r="N142" i="1"/>
  <c r="L142" i="1"/>
  <c r="M141" i="1"/>
  <c r="O141" i="1"/>
  <c r="N141" i="1"/>
  <c r="L141" i="1"/>
  <c r="M140" i="1"/>
  <c r="O140" i="1"/>
  <c r="N140" i="1"/>
  <c r="L140" i="1"/>
  <c r="M139" i="1"/>
  <c r="O139" i="1"/>
  <c r="N139" i="1"/>
  <c r="L139" i="1"/>
  <c r="M138" i="1"/>
  <c r="O138" i="1"/>
  <c r="N138" i="1"/>
  <c r="L138" i="1"/>
  <c r="M137" i="1"/>
  <c r="O137" i="1"/>
  <c r="N137" i="1"/>
  <c r="L137" i="1"/>
  <c r="M136" i="1"/>
  <c r="O136" i="1"/>
  <c r="N136" i="1"/>
  <c r="L136" i="1"/>
  <c r="M135" i="1"/>
  <c r="O135" i="1"/>
  <c r="N135" i="1"/>
  <c r="L135" i="1"/>
  <c r="M134" i="1"/>
  <c r="O134" i="1"/>
  <c r="N134" i="1"/>
  <c r="L134" i="1"/>
  <c r="M133" i="1"/>
  <c r="O133" i="1"/>
  <c r="N133" i="1"/>
  <c r="L133" i="1"/>
  <c r="M132" i="1"/>
  <c r="O132" i="1"/>
  <c r="N132" i="1"/>
  <c r="L132" i="1"/>
  <c r="M131" i="1"/>
  <c r="O131" i="1"/>
  <c r="N131" i="1"/>
  <c r="L131" i="1"/>
  <c r="M130" i="1"/>
  <c r="O130" i="1"/>
  <c r="N130" i="1"/>
  <c r="L130" i="1"/>
  <c r="M129" i="1"/>
  <c r="O129" i="1"/>
  <c r="N129" i="1"/>
  <c r="L129" i="1"/>
  <c r="M128" i="1"/>
  <c r="O128" i="1"/>
  <c r="N128" i="1"/>
  <c r="L128" i="1"/>
  <c r="M127" i="1"/>
  <c r="O127" i="1"/>
  <c r="N127" i="1"/>
  <c r="L127" i="1"/>
  <c r="M126" i="1"/>
  <c r="O126" i="1"/>
  <c r="N126" i="1"/>
  <c r="L126" i="1"/>
  <c r="M125" i="1"/>
  <c r="O125" i="1"/>
  <c r="N125" i="1"/>
  <c r="L125" i="1"/>
  <c r="M124" i="1"/>
  <c r="O124" i="1"/>
  <c r="N124" i="1"/>
  <c r="L124" i="1"/>
  <c r="M123" i="1"/>
  <c r="O123" i="1"/>
  <c r="N123" i="1"/>
  <c r="L123" i="1"/>
  <c r="M122" i="1"/>
  <c r="O122" i="1"/>
  <c r="N122" i="1"/>
  <c r="L122" i="1"/>
  <c r="O8" i="1"/>
  <c r="O9" i="1"/>
  <c r="O10" i="1"/>
  <c r="O11" i="1"/>
  <c r="O12" i="1"/>
  <c r="O13" i="1"/>
  <c r="O3" i="1"/>
  <c r="O14" i="1"/>
  <c r="O2" i="1"/>
  <c r="O15" i="1"/>
  <c r="O4" i="1"/>
  <c r="O5" i="1"/>
  <c r="O16" i="1"/>
  <c r="O17" i="1"/>
  <c r="O18" i="1"/>
  <c r="O19" i="1"/>
  <c r="O20" i="1"/>
  <c r="O21" i="1"/>
  <c r="O22" i="1"/>
  <c r="O23" i="1"/>
  <c r="O24" i="1"/>
  <c r="O25" i="1"/>
  <c r="O6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7" i="1"/>
  <c r="N11" i="1"/>
  <c r="N12" i="1"/>
  <c r="N13" i="1"/>
  <c r="N3" i="1"/>
  <c r="N14" i="1"/>
  <c r="N2" i="1"/>
  <c r="N15" i="1"/>
  <c r="N4" i="1"/>
  <c r="N5" i="1"/>
  <c r="N16" i="1"/>
  <c r="N17" i="1"/>
  <c r="N18" i="1"/>
  <c r="N19" i="1"/>
  <c r="N20" i="1"/>
  <c r="N21" i="1"/>
  <c r="N22" i="1"/>
  <c r="N23" i="1"/>
  <c r="N24" i="1"/>
  <c r="N25" i="1"/>
  <c r="N6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8" i="1"/>
  <c r="N9" i="1"/>
  <c r="N10" i="1"/>
  <c r="N7" i="1"/>
  <c r="L8" i="1"/>
  <c r="L9" i="1"/>
  <c r="L10" i="1"/>
  <c r="L11" i="1"/>
  <c r="L12" i="1"/>
  <c r="L13" i="1"/>
  <c r="L3" i="1"/>
  <c r="L14" i="1"/>
  <c r="L2" i="1"/>
  <c r="L15" i="1"/>
  <c r="L4" i="1"/>
  <c r="L5" i="1"/>
  <c r="L16" i="1"/>
  <c r="L17" i="1"/>
  <c r="L18" i="1"/>
  <c r="L19" i="1"/>
  <c r="L20" i="1"/>
  <c r="L21" i="1"/>
  <c r="L22" i="1"/>
  <c r="L23" i="1"/>
  <c r="L24" i="1"/>
  <c r="L25" i="1"/>
  <c r="L6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M8" i="1"/>
  <c r="M9" i="1"/>
  <c r="M10" i="1"/>
  <c r="M11" i="1"/>
  <c r="M12" i="1"/>
  <c r="M13" i="1"/>
  <c r="M3" i="1"/>
  <c r="M14" i="1"/>
  <c r="M2" i="1"/>
  <c r="M15" i="1"/>
  <c r="M4" i="1"/>
  <c r="M5" i="1"/>
  <c r="M16" i="1"/>
  <c r="M17" i="1"/>
  <c r="M18" i="1"/>
  <c r="M19" i="1"/>
  <c r="M20" i="1"/>
  <c r="M21" i="1"/>
  <c r="M22" i="1"/>
  <c r="M23" i="1"/>
  <c r="M24" i="1"/>
  <c r="M25" i="1"/>
  <c r="M6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7" i="1"/>
  <c r="L7" i="1"/>
</calcChain>
</file>

<file path=xl/sharedStrings.xml><?xml version="1.0" encoding="utf-8"?>
<sst xmlns="http://schemas.openxmlformats.org/spreadsheetml/2006/main" count="767" uniqueCount="358">
  <si>
    <t>Brand</t>
  </si>
  <si>
    <t>Model</t>
  </si>
  <si>
    <t>Seller Rating</t>
  </si>
  <si>
    <t>Listing ID</t>
  </si>
  <si>
    <t>Rolex</t>
  </si>
  <si>
    <t>Datejust 36</t>
  </si>
  <si>
    <t>Warranty Presence</t>
  </si>
  <si>
    <t>Reference number</t>
  </si>
  <si>
    <t>Description</t>
  </si>
  <si>
    <t>Silver Dial 18k White Gold Bezel Stainless Jubilee Bracelet MINT</t>
  </si>
  <si>
    <t>Warranty duration (in months)</t>
  </si>
  <si>
    <t>Mm 126234 Stahl Weissgold 750 Automatik Date Just Stainless Steel 18kt White Gold Oyster-band Chronometer Black Dial</t>
  </si>
  <si>
    <t>Black Stick Steel White Gold Fluted Jubilee Mens Watch</t>
  </si>
  <si>
    <t xml:space="preserve">MOP Diamond Dial SS Jubilee </t>
  </si>
  <si>
    <t>36mm 2021 SS Oyster Bracelet RoseGold dial COMPLETE SET</t>
  </si>
  <si>
    <t>Oyster Perpetual 36 mm Blue Dial Jubilee Stainless Steel</t>
  </si>
  <si>
    <t>Aubergine Purple Diamond Roman Steel Box Paper 36mm</t>
  </si>
  <si>
    <t>Stainless steel &amp; 18K White Gold Unisex Watch</t>
  </si>
  <si>
    <t>Steel White Gold Diamond Dial Mens Watch 126234 Box Card</t>
  </si>
  <si>
    <t>Midsize Datejust 36MM</t>
  </si>
  <si>
    <t>36mm Stainless Steel - Grey Dial - Steel Bracelet</t>
  </si>
  <si>
    <t>Stainless steel &amp; 18K White Gold &amp; Diamonds Lady's Watch</t>
  </si>
  <si>
    <t>126234 Wimbledon Dial Mens Watch Box Papers</t>
  </si>
  <si>
    <t>Stainless Steel case with 18k White Gold fluted bezel (36mm dia.)</t>
  </si>
  <si>
    <t>Steel White Gold Silver Dial Mens Watch 126234 Box Card</t>
  </si>
  <si>
    <t>126234 36mm Blue Dial Steel 18k White Gold Box Paper</t>
  </si>
  <si>
    <t>Stainless steel &amp; 18K White Gold Lady's Watch</t>
  </si>
  <si>
    <t>Oyster Perpetual</t>
  </si>
  <si>
    <t>36mm Stainless Steel 126234 Black Index Jubilee</t>
  </si>
  <si>
    <t>Steel Datejust 36 Watch - Fluted Bezel - Blue Diamond Dial - Jubilee Bracelet 126234</t>
  </si>
  <si>
    <t>Steel 18k Gold Bezel Black Diamond Dial Watch +Card ’19 126234</t>
  </si>
  <si>
    <t>Rolex Datejust 36mm Wimbledon 126234</t>
  </si>
  <si>
    <t>126234 White Gold Stainless Steel Slate 'Wimbledon' Dial Jubilee (2022)</t>
  </si>
  <si>
    <t>Steel &amp; White Gold Pink Jubilee Diamond Dial on Oyster</t>
  </si>
  <si>
    <t>36mm Green Dial 2022 Jubilee</t>
  </si>
  <si>
    <t xml:space="preserve">Mother of Pearl (MOP) Diamond Dial Jubilee Bracelet </t>
  </si>
  <si>
    <t>Full Set 2024 MOP Dial Diamonds</t>
  </si>
  <si>
    <t>126234 Diamond MOP Dial Mens Watch</t>
  </si>
  <si>
    <t>Oyster Perpetual Datejust</t>
  </si>
  <si>
    <t>36mm Blue Motif Dial 2022 Jubilee</t>
  </si>
  <si>
    <t>Price (in $)</t>
  </si>
  <si>
    <t>Fluted Oyster Olive Green Palm Motif Dial</t>
  </si>
  <si>
    <t>Source</t>
  </si>
  <si>
    <t>https://www.chrono24.com/rolex/datejust-36-fluted-oyster-olive-green-palm-motif-dial--id39342001.htm</t>
  </si>
  <si>
    <t>Rolex Datejust 36 126234</t>
  </si>
  <si>
    <t>https://www.chrono24.com/rolex/rolex-datejust-36--id38136329.htm</t>
  </si>
  <si>
    <t>126234-cm4-dc710</t>
  </si>
  <si>
    <t>https://www.chrono24.com/rolex/datejust-36--id37420697.htm</t>
  </si>
  <si>
    <t>Oyster Perpetual Datejust Black Diamond 126234 2020 (Full Set)</t>
  </si>
  <si>
    <t>https://www.chrono24.com/rolex/rolex-oyster-perpetual-datejust-black-diamond-126234-2020-full-set--id35582748.htm</t>
  </si>
  <si>
    <t>Weißgoldlünette | 2024 | 126234</t>
  </si>
  <si>
    <t>https://www.chrono24.com/rolex/rolex-datejust-36--weissgoldluenette---2024--126234--id37838299.htm</t>
  </si>
  <si>
    <t>126234 - 2024</t>
  </si>
  <si>
    <t>https://www.chrono24.com/rolex/datejust---126234---2024--id39270240.htm</t>
  </si>
  <si>
    <t>126234-cm4-dc715</t>
  </si>
  <si>
    <t>https://www.chrono24.com/rolex/datejust-36--id37421098.htm</t>
  </si>
  <si>
    <t>36mm Wimbledon Dial Fluted Bezel</t>
  </si>
  <si>
    <t>https://www.chrono24.com/rolex/rolex-datejust-36mm-wimbledon-dial-fluted-bezel--id30309992.htm</t>
  </si>
  <si>
    <t>36mm Silver Diamonds VI IX Dial ref. 126234 - Jubilee Bracelet - Full set</t>
  </si>
  <si>
    <t>https://www.chrono24.com/rolex/rolex-datejust-36mm-silver-diamonds-vi-ix-dial-ref-126234---jubilee-bracelet---full-set--id33556529.htm</t>
  </si>
  <si>
    <t>https://www.chrono24.com/rolex/datejust-36--id34119424.htm</t>
  </si>
  <si>
    <t>Relogio com caixa sem documentos</t>
  </si>
  <si>
    <t>https://www.chrono24.com/rolex/datejust-36--id39397993.htm</t>
  </si>
  <si>
    <t>https://www.chrono24.com/rolex/datejust-36--id39442259.htm</t>
  </si>
  <si>
    <t>Oyster 36 mm Oystersteel</t>
  </si>
  <si>
    <t>https://www.chrono24.com/rolex/datejust--id40252832.htm</t>
  </si>
  <si>
    <t>https://www.chrono24.com/rolex/rolex-datejust-36--id40185976.htm</t>
  </si>
  <si>
    <t>https://www.chrono24.com/rolex/datejust-36-anniversary-dial--id39035263.htm</t>
  </si>
  <si>
    <t>Anniversary Dial</t>
  </si>
  <si>
    <t>126234-cm4-dc716</t>
  </si>
  <si>
    <t>https://www.chrono24.com/rolex/datejust-126234-aubergine-purple-diamond-roman-steel-box-paper-36mm--id40088414.htm</t>
  </si>
  <si>
    <t>https://www.chrono24.com/rolex/datejust-stainless-steel--18k-white-gold--diamonds-ladys-watch--id39938724.htm</t>
  </si>
  <si>
    <t>https://www.chrono24.com/rolex/rolex-midsize-datejust-36mm--id22127896.htm</t>
  </si>
  <si>
    <t>https://www.chrono24.com/rolex/rolex-datejust-36-steel--white-gold-pink-jubilee-diamond-dial-on-oyster-watch--box--id40096566.htm</t>
  </si>
  <si>
    <t>https://www.chrono24.com/rolex/rolex-rolex-datejust-126234-oyster-perpetual-36-mm-blue-dial-jubilee-stainless-steel--id38729358.htm</t>
  </si>
  <si>
    <t>https://www.chrono24.com/rolex/datejust-36-126234-stainless-steel-slate-wimbledon-dial-jubilee-2022--id39021629.htm</t>
  </si>
  <si>
    <t>https://www.chrono24.com/rolex/datejust-36-126234-wimbledon-dial-mens-watch-box-papers--id39821153.htm</t>
  </si>
  <si>
    <t>36mm Blue Dial 2023 Jubilee - 126234</t>
  </si>
  <si>
    <t>https://www.chrono24.com/rolex/rolex-datejust-36mm-blue-dial-2023-jubilee---126234--id40572333.htm</t>
  </si>
  <si>
    <t>Wimbeldon Oyster 126234 Papiere 11-2023</t>
  </si>
  <si>
    <t>https://www.chrono24.com/rolex/rolex-datejust-36-wimbeldon-oyster-126234-papiere-11-2023--id40532543.htm</t>
  </si>
  <si>
    <t>https://www.chrono24.com/rolex/rolex-datejust-36--id35854506.htm</t>
  </si>
  <si>
    <t>https://www.chrono24.com/rolex/rolex-datejust-36-126234-silver-dial-18k-white-gold-bezel--stainless-jubilee--bracelet-mint--id38837898.htm</t>
  </si>
  <si>
    <t>https://www.chrono24.com/rolex/datejust-36--id37420799.htm</t>
  </si>
  <si>
    <t>https://www.chrono24.com/rolex/2021-rolex-datejust-126234-black-dial-36mm-w-rolex-warranty-card--id37766380.htm</t>
  </si>
  <si>
    <t>2021 Rolex Datejust 126234 Black Dial 36mm W</t>
  </si>
  <si>
    <t>https://www.chrono24.com/rolex/datejust-36--id38486111.htm</t>
  </si>
  <si>
    <t>https://www.chrono24.com/rolex/rolex-datejust-36--id39831575.htm</t>
  </si>
  <si>
    <t>Steel Datejust 36 Watch - Fluted Bezel - MOP Diamond Dial - Jubilee Bracelet</t>
  </si>
  <si>
    <t>https://www.chrono24.com/rolex/rolex-steel-datejust-36-watch---fluted-bezel---mop-diamond-dial---jubilee-bracelet--id37727481.htm</t>
  </si>
  <si>
    <t>https://www.chrono24.com/rolex/rolex-datejust-36-stainless-steel-white-gold-green-dial-126234--id37948336.htm</t>
  </si>
  <si>
    <t>Stainless Steel White Gold Green Dial 126234</t>
  </si>
  <si>
    <t>2025 Datejust 36 Blue Index Dial 126234 Oyster Bracelet</t>
  </si>
  <si>
    <t>https://www.chrono24.com/rolex/in-stock-2025-datejust-36-blue-index-dial-126234-oyster-bracelet--id40457466.htm</t>
  </si>
  <si>
    <t>2023 Discontinued Blue Motif Dial</t>
  </si>
  <si>
    <t>https://www.chrono24.com/rolex/datejust-36-2023-discontinued-blue-motif-dial--id34089401.htm</t>
  </si>
  <si>
    <t>Rolex DateJust 36 Wimbledon Rhodium Gray Steel Oyster 126234 BOX</t>
  </si>
  <si>
    <t>https://www.chrono24.com/rolex/papers-rolex-datejust-36-wimbledon-rhodium-gray-steel-oyster-126234-box--id38730540.htm</t>
  </si>
  <si>
    <t>https://www.chrono24.com/rolex/rolex-datejust-36-stainless-steel-blue-dial-126234--id38491912.htm</t>
  </si>
  <si>
    <t>Stainless Steel Blue Dial 126234</t>
  </si>
  <si>
    <t>https://www.chrono24.com/rolex/rolex-datejust-36-quadrante-argento-del-2022-full-set-top-condition-con-documenti-e-scatola--id40628162.htm</t>
  </si>
  <si>
    <t>quadrante argento del 2022 full set top condition con documenti e scatola</t>
  </si>
  <si>
    <t>https://www.chrono24.com/rolex/rolex-datejust-36mm-del-2021-quadrante-con-diamanti-ore-6--9-jubilee-full-set-top-condition--id40628069.htm</t>
  </si>
  <si>
    <t>36mm del 2021 quadrante con diamanti ore 6 &amp; 9 Jubilee full set top condition</t>
  </si>
  <si>
    <t>https://www.chrono24.com/rolex/rolex-datejust-36--id38358891.htm</t>
  </si>
  <si>
    <t>https://www.chrono24.com/rolex/datejust-36-126234-diamond-mop-dial-mens-watch-box-paper--id36659377.htm</t>
  </si>
  <si>
    <t>https://www.chrono24.com/rolex/datejust-stainless-steel--18k-white-gold-unisex-watch--id39437249.htm</t>
  </si>
  <si>
    <t>https://www.chrono24.com/rolex/rolex-datejust-36mm-stainless-steel---grey-dial---steel-bracelet-126234--id37822670.htm</t>
  </si>
  <si>
    <t>quadrante PINK in diamanti ore 6 e 9 del 2022 full set top condition</t>
  </si>
  <si>
    <t>https://www.chrono24.com/rolex/rolex-datejust-36-quadrante-pink-in-diamanti-ore-6-e-9-del-2022-full-set-top-condition--id40413094.htm</t>
  </si>
  <si>
    <t>36mm SS - WG Fluted Bezel - Blue Fluted Dial - Jubilee Bracelet 126234</t>
  </si>
  <si>
    <t>https://www.chrono24.com/rolex/rolex-datejust-36mm-ss---wg-fluted-bezel---blue-fluted-dial---jubilee-bracelet-126234--id39350484.htm</t>
  </si>
  <si>
    <t>https://www.chrono24.com/rolex/rolex-datejust-36-126234-papiere-122019-jubilee-schwarz--id39196177.htm</t>
  </si>
  <si>
    <t>126234 Papiere 12/2019 Jubilee Schwarz</t>
  </si>
  <si>
    <t>Stainless Oyster Black Index</t>
  </si>
  <si>
    <t>https://www.chrono24.com/rolex/rolex-datejust-36-stainless-oyster-black-index--id40616331.htm</t>
  </si>
  <si>
    <t>126234 36mm Stainless Steel Watch</t>
  </si>
  <si>
    <t>https://www.chrono24.com/rolex/datejust-126234-36mm-stainless-steel-watch--id38109275.htm</t>
  </si>
  <si>
    <t>https://www.chrono24.com/rolex/rolex-datejust-36mm-stainless-steel---fluted-bezel---blue-dial---oyster-bracelet-126234--id38861417.htm</t>
  </si>
  <si>
    <t>36mm Stainless Steel - Fluted Bezel - Blue Dial - Oyster Bracelet 126234</t>
  </si>
  <si>
    <t>36mm Green Dial 2022 Jubilee - 126234</t>
  </si>
  <si>
    <t>https://www.chrono24.com/rolex/rolex-datejust-36mm-green-dial-2022-jubilee---126234--id40285622.htm</t>
  </si>
  <si>
    <t>36mm SS - WG Fluted Bezel - BLUE JUBILEE DIAMOND Dial - Jubilee Bracelet 126234</t>
  </si>
  <si>
    <t>https://www.chrono24.com/rolex/rolex-datejust-36mm-ss---wg-fluted-bezel---blue-jubilee-diamond-dial---jubilee-bracelet-126234--id39350741.htm</t>
  </si>
  <si>
    <t>https://www.chrono24.com/rolex/rolex-datejust-36-ref-126234-green-mint---new-2025-full-set--id40429092.htm</t>
  </si>
  <si>
    <t>ref. 126234 Green Mint - New 2025 Full Set</t>
  </si>
  <si>
    <t>White Roman Dial Stainless Steel Fluted Bezel Oyster Bracelet Pre Owned</t>
  </si>
  <si>
    <t>https://www.chrono24.com/rolex/rolex-datejust-36-white-roman-dial-stainless-steel-fluted-bezel-oyster-bracelet-pre-owned--id36091100.htm</t>
  </si>
  <si>
    <t>https://www.chrono24.com/rolex/datejust-36-random-serial-oyster-bracelet-126234--id39066514.htm</t>
  </si>
  <si>
    <t>Random Serial Oyster Bracelet 126234</t>
  </si>
  <si>
    <t>In Stock 2025 Datejust 36 Blue Index Dial 126234 Oyster Bracelet</t>
  </si>
  <si>
    <t>https://www.chrono24.com/rolex/in-stock-2025-datejust-36-blue-index-dial-126234-oyster-bracelet--id40687642.htm</t>
  </si>
  <si>
    <t>quadrante in diamanti nero del 2021 Jubilee full set excellent condition</t>
  </si>
  <si>
    <t>https://www.chrono24.com/rolex/rolex-datejust-36-quadrante-in-diamanti-nero-del-2021-jubilee-full-set-excellent-condition--id38157399.htm</t>
  </si>
  <si>
    <t>126234 Automatic Gold/Steel Very good</t>
  </si>
  <si>
    <t>https://www.chrono24.com/rolex/-36-126234--id40773162.htm</t>
  </si>
  <si>
    <t>quadrante in diamanti ore 6 &amp; 9 aubergine purple viola del 2019 full set</t>
  </si>
  <si>
    <t>https://www.chrono24.com/rolex/rolex-datejust-36-quadrante-in-diamanti-ore-6--9-aubergine-purple-viola-del-2019-full-set--id38140345.htm</t>
  </si>
  <si>
    <t>https://www.chrono24.com/rolex/rolex-datejust-36-black-index-dial-stainless-steel-fluted-bezel-oyster-bracelet--id38880929.htm</t>
  </si>
  <si>
    <t>Black Index Dial Stainless Steel Fluted Bezel Oyster Bracelet</t>
  </si>
  <si>
    <t>36mm Blue Motif Dial 2022 Jubilee - 126234</t>
  </si>
  <si>
    <t>https://www.chrono24.com/rolex/rolex-datejust-36mm-blue-motif-dial-2022-jubilee---126234--id39701258.htm</t>
  </si>
  <si>
    <t>126234 Automatic 2024 Gold/Steel Good</t>
  </si>
  <si>
    <t>https://www.chrono24.com/rolex/--36-126234--k18wgss------id40057681.htm</t>
  </si>
  <si>
    <t>126234G Automatic 2020 Gold/Steel Very good</t>
  </si>
  <si>
    <t>https://www.chrono24.com/rolex/36--10p---id39945726.htm</t>
  </si>
  <si>
    <t>https://www.chrono24.com/rolex/--126234-sswg--id39404901.htm</t>
  </si>
  <si>
    <t>https://www.chrono24.com/rolex/datejust---126234---2022--id40721015.htm</t>
  </si>
  <si>
    <t>126234 - 2022</t>
  </si>
  <si>
    <t>https://www.chrono24.com/rolex/datejust-126234-0013-2023-box-and-papers--id40190682.htm</t>
  </si>
  <si>
    <t>126234-0013 2023 Box and Papers</t>
  </si>
  <si>
    <t>https://www.chrono24.com/rolex/datejust-36-blue-dial-jubile-very-good-condition-full-set-2020--id39246129.htm</t>
  </si>
  <si>
    <t>blue dial jubile very good condition Full Set 2020</t>
  </si>
  <si>
    <t>https://www.chrono24.com/rolex/datejust-36--id39671647.htm</t>
  </si>
  <si>
    <t>https://www.chrono24.com/rolex/datejust-36-126234--id38157801.htm</t>
  </si>
  <si>
    <t>126234 Full Set 12/2019 LC 100 Schwarz Oyster</t>
  </si>
  <si>
    <t>https://www.chrono24.com/rolex/rolex-datejust-36-126234-full-set-122019-lc-100-schwarz-oyster--id39200588.htm</t>
  </si>
  <si>
    <t>36mm Blue Dial 2021 Jubilee - 126234</t>
  </si>
  <si>
    <t>https://www.chrono24.com/rolex/rolex-datejust-36mm-blue-dial-2021-jubilee---126234--id40702474.htm</t>
  </si>
  <si>
    <t>126234 Diamond MOP Dial Mens Watch Box Paper</t>
  </si>
  <si>
    <t>Blue Motif Dial - Like new - LC De - First buyer invoice</t>
  </si>
  <si>
    <t>https://www.chrono24.com/rolex/datejust-36---blue-motif-dial---like-new---lc-de---first-buyer-invoice--id39943384.htm</t>
  </si>
  <si>
    <t>https://www.chrono24.com/rolex/rolex-datejust-36-white-roman-dial-stainless-steel-fluted-bezel-oyster-bracelet-pre-owned--id34941299.htm?searchHash=748915e8_zaEUBl&amp;pos=198</t>
  </si>
  <si>
    <t>https://www.chrono24.com/rolex/rolex-datejust-36-full-set-2024-mop-dial-diamonds--id30603437.htm</t>
  </si>
  <si>
    <t>https://www.chrono24.com/rolex/rolex-datejust-36--id39043415.htm</t>
  </si>
  <si>
    <t>Oyster Perpetual Datejust 36 Ref. 126234 LC100</t>
  </si>
  <si>
    <t>https://www.chrono24.com/rolex/oyster-perpetual-datejust-36-ref-126234-lc100--id40083341.htm</t>
  </si>
  <si>
    <t>https://www.chrono24.com/rolex/rolex-datejust-36-jubilee-silver-full-set--id32417055.htm</t>
  </si>
  <si>
    <t>Jubilee Silver Full Set</t>
  </si>
  <si>
    <t>126234 Fullset | Schwarz Dia Dial</t>
  </si>
  <si>
    <t>https://www.chrono24.com/rolex/datejust-36--id40743057.htm</t>
  </si>
  <si>
    <t>126234 black Bar 5 Rows Jubilee Bracelet Random Number USED mens</t>
  </si>
  <si>
    <t>https://www.chrono24.com/rolex/rolex-datejust-36-126234-black-bar-5-rows-jubilee-bracelet-random-number-used-mens--id38834589.htm</t>
  </si>
  <si>
    <t>Mother Of Pearl Diamond Dial 18K Stainless Steel 126234 - COM003287</t>
  </si>
  <si>
    <t>https://www.chrono24.com/rolex/datejust-36-mother-of-pearl-diamond-dial-18k-stainless-steel-126234---com003287--id27661507.htm</t>
  </si>
  <si>
    <t>https://www.chrono24.com/rolex/datejust-36-126234--id39482749.htm</t>
  </si>
  <si>
    <t>126234 | Full Set | 2021</t>
  </si>
  <si>
    <t>https://www.chrono24.com/rolex/rolex-datejust-36-126234--full-set--2021--id40891391.htm</t>
  </si>
  <si>
    <t>https://www.chrono24.com/rolex/rolex-datejust-36-blue-motif-dial-stainless-steel-fluted-bezel-oyster-bracelet--id39658934.htm</t>
  </si>
  <si>
    <t>Blue Motif Dial Stainless Steel Fluted Bezel Oyster Bracelet</t>
  </si>
  <si>
    <t>https://www.chrono24.com/rolex/rolex-datejust-36--id34780137.htm</t>
  </si>
  <si>
    <t>126234 slate (Grey) Green Roman 5 Row Jubilee Bracelet Random Number USED mens</t>
  </si>
  <si>
    <t>https://www.chrono24.com/rolex/rolex-datejust-36-126234-slate-grey-green-roman-5-row-jubilee-bracelet-random-number-used-mens--id40820494.htm</t>
  </si>
  <si>
    <t>https://www.chrono24.com/rolex/datejust-36--id39714703.htm</t>
  </si>
  <si>
    <t>https://www.chrono24.com/rolex/rolex-datejust-36mm-blue-diamonds-ref-126234---jubilee-bracelet---full-set--id38651994.htm</t>
  </si>
  <si>
    <t>36mm Blue Diamonds ref. 126234 - Jubilee Bracelet - Full set</t>
  </si>
  <si>
    <t>https://www.chrono24.com/rolex/rolex-datejust-36--126234--steel--palm-dial--2022--id39156086.htm</t>
  </si>
  <si>
    <t>126234 | Steel | Palm Dial | 2022</t>
  </si>
  <si>
    <t>https://www.chrono24.com/rolex/datejust-36-126234--id39522761.htm</t>
  </si>
  <si>
    <t>https://www.chrono24.com/rolex/datejust-36-126234-silver-jubilee-warranty-2022-boxpaper--id37089229.htm</t>
  </si>
  <si>
    <t>126234 Silver Jubilee Warranty 2022 Box/Paper</t>
  </si>
  <si>
    <t>Blue Dial 126234 Full Set</t>
  </si>
  <si>
    <t>https://www.chrono24.com/rolex/rolex-datejust-36-blue-dial-126234-full-set--id39824691.htm</t>
  </si>
  <si>
    <t>https://www.chrono24.com/rolex/rolex-datejust-36--id38046106.htm</t>
  </si>
  <si>
    <t>26234G Automatic 2019 Gold/Steel Very good</t>
  </si>
  <si>
    <t>https://www.chrono24.com/rolex/36--10p----id40719858.htm</t>
  </si>
  <si>
    <t>126234 | Box &amp; Papers | Aubergine Dial | 2020</t>
  </si>
  <si>
    <t>https://www.chrono24.com/rolex/datejust-36--126234--box--papers--aubergine-dial--2020--id39136186.htm</t>
  </si>
  <si>
    <t>https://www.chrono24.com/rolex/datejust-36--id37735095.htm</t>
  </si>
  <si>
    <t>Mother-Of-Pearl Dial 126234 Year: 2020 Complete Set</t>
  </si>
  <si>
    <t>https://www.chrono24.com/rolex/rolex-datejust-36-mother-of-pearl-dial-126234-year-2020-complete-set--id40970976.htm</t>
  </si>
  <si>
    <t>en or et acier Ref: Rolex - 126234 Vers 2007</t>
  </si>
  <si>
    <t>https://www.chrono24.com/rolex/montre-rolex-datejust-en-or-et-acier-ref-rolex---126234--vers-2007--id41028661.htm</t>
  </si>
  <si>
    <t>Log_Price = ln([Price (in $)])</t>
  </si>
  <si>
    <t>Log_Rating = ln(Rating + 1)</t>
  </si>
  <si>
    <t>Log_Warranty_Presence = ln(Warranty Presence + 1)</t>
  </si>
  <si>
    <t>Log_Warranty_Duration = In(Warranty duration (in months) + 1)</t>
  </si>
  <si>
    <t>Full Set Ref. 126234</t>
  </si>
  <si>
    <t>https://www.chrono24.com/rolex/datejust-36--id41348970.htm</t>
  </si>
  <si>
    <t>Black dial Fluted Jubilee Full Set August 2021</t>
  </si>
  <si>
    <t>https://www.chrono24.com/rolex/datejust-36--id42834059.htm</t>
  </si>
  <si>
    <t>126234 Full Set LC100</t>
  </si>
  <si>
    <t>https://www.chrono24.com/rolex/rolex-datejust-36--id42650781.htm</t>
  </si>
  <si>
    <t>126234 Mint green Bar 3 rows oyster breath Random Number USED mens</t>
  </si>
  <si>
    <t>https://www.chrono24.com/rolex/rolex-datejust-36-126234-mint-green-bar-3-rows-oyster-breath-random-number-used-mens--id41956769.htm</t>
  </si>
  <si>
    <t>126234 GreenPalm Jubilee Warranty 2022 Box/Paper</t>
  </si>
  <si>
    <t>https://www.chrono24.com/rolex/datejust-36-126234-greenpalm-jubilee-warranty-2022-boxpaper--id36911514.htm</t>
  </si>
  <si>
    <t>quadrante in diamanti blu jubilee del 2019 full set excellent condition</t>
  </si>
  <si>
    <t>https://www.chrono24.com/rolex/rolex-datejust-36-quadrante-in-diamanti-blu-jubilee-del-2019-full-set-excellent-condition--id39819851.htm</t>
  </si>
  <si>
    <t>https://www.chrono24.com/rolex/datejust-36--id42527364.htm</t>
  </si>
  <si>
    <t>Wimbledon Dial 126234</t>
  </si>
  <si>
    <t>https://www.chrono24.com/rolex/datejust-36-wimbledon-dial-126234--id37627940.htm</t>
  </si>
  <si>
    <t>Oyster Perpetual Datejust 36 Ref. 126234</t>
  </si>
  <si>
    <t>https://www.chrono24.com/rolex/oyster-perpetual-datejust-36-ref-126234--id37817902.htm</t>
  </si>
  <si>
    <t>Ref 126234 Herrenuhr. Box und Papiere.</t>
  </si>
  <si>
    <t>https://www.chrono24.com/rolex/datejust-36-ref-126234-herrenuhr-box-und-papiere--id39631624.htm</t>
  </si>
  <si>
    <t>126234 Warranty 2022 Box/Paper</t>
  </si>
  <si>
    <t>https://www.chrono24.com/rolex/rolex-datejust-36-126234-warranty-2022-boxpaper--id42679834.htm</t>
  </si>
  <si>
    <t>Silver Index Dial Stainless Steel Fluted Bezel Oyster Bracelet</t>
  </si>
  <si>
    <t>https://www.chrono24.com/rolex/rolex-datejust-36-silver-index-dial-stainless-steel-fluted-bezel-oyster-bracelet--id43145323.htm</t>
  </si>
  <si>
    <t>36mm Stainless Steel 18K White Gold Slate dial</t>
  </si>
  <si>
    <t>https://www.chrono24.com/rolex/datejust-36mm-stainless-steel-18k-white-gold-slate-dial--id43020461.htm</t>
  </si>
  <si>
    <t>Blue Motif Index Dial Stainless Steel Oyster Bracelet Fluted Bezel</t>
  </si>
  <si>
    <t>https://www.chrono24.com/rolex/rolex-datejust-36-blue-motif-dial-stainless-steel-oyster-bracelet-fluted-bezel--id43145286.htm</t>
  </si>
  <si>
    <t>126234G Year 2019</t>
  </si>
  <si>
    <t>https://www.chrono24.com/rolex/126234g-year-2019--id42753103.htm</t>
  </si>
  <si>
    <t>Oyster Perpetual Datejust 36 | Ref. 116200 - Full Set</t>
  </si>
  <si>
    <t>https://www.chrono24.com/rolex/-oyster-perpetual-datejust-36--ref-116200---full-set--id41427096.htm</t>
  </si>
  <si>
    <t>Olive green palm</t>
  </si>
  <si>
    <t>https://www.chrono24.com/rolex/rolex-datejust-36--id42904997.htm</t>
  </si>
  <si>
    <t>Jubilee Fluted Blue Diamond Dial</t>
  </si>
  <si>
    <t>https://www.chrono24.com/rolex/datejust-36-jubilee-fluted-blue-diamond-dial--id42145336.htm</t>
  </si>
  <si>
    <t>Datejust//Ref. 126234//Full Set//Diamonds Dial//2021 #710</t>
  </si>
  <si>
    <t>https://www.chrono24.com/rolex/rolex-datejustref-126234full-setdiamonds-dial2021-710--id40589575.htm</t>
  </si>
  <si>
    <t>black 126234/J</t>
  </si>
  <si>
    <t>https://www.chrono24.com/rolex/rolex-datejust36-black-126234j--id43182951.htm</t>
  </si>
  <si>
    <t>126234G Automatic 2021 Gold/Steel Good</t>
  </si>
  <si>
    <t>https://www.chrono24.com/rolex/--36-126234g--k18wgss-------id42814802.htm</t>
  </si>
  <si>
    <t>Palm Dial Jubilee Steel/white Gold 18k REF. 126234 FULL SET</t>
  </si>
  <si>
    <t>https://www.chrono24.com/rolex/rolex-datejust-36-palm-dial-jubilee-steelwhite-gold-18k--id42537395.htm</t>
  </si>
  <si>
    <t>126234 Automatic 2025 Gold/Steel Good</t>
  </si>
  <si>
    <t>https://www.chrono24.com/rolex/-36datejust-36--id43199296.htm</t>
  </si>
  <si>
    <t>Wimbledon</t>
  </si>
  <si>
    <t>https://www.chrono24.com/rolex/rolex-datejust-36-wimbledon--id41173238.htm</t>
  </si>
  <si>
    <t>126234 2022 Stahl Weissgold 750 Perlmutt Diamanten Automatik Stainless Steel 18kt White Gold Jubilé-band Chronometer Oyster</t>
  </si>
  <si>
    <t>https://www.chrono24.com/rolex/datejust-36-126234-2022-stahl-weissgold-750-perlmutt-diamanten-automatik-stainless-steel-18kt-white-gold-jubile-band-chronometer-oyster--id42874877.htm</t>
  </si>
  <si>
    <t>2025 ROLEX DATE-JUST PURPLE ROMAN DIAL 36MM 126234</t>
  </si>
  <si>
    <t>https://www.chrono24.com/rolex/rolex-datejust-36--id41784428.htm</t>
  </si>
  <si>
    <t>White Roman Dial Stainless Steel Fluted Bezel Jubilee Bracelet</t>
  </si>
  <si>
    <t>https://www.chrono24.com/rolex/rolex-datejust-36-white-roman-dial-stainless-steel-fluted-bezel-jubilee-bracelet--id43145376.htm</t>
  </si>
  <si>
    <t>like new</t>
  </si>
  <si>
    <t>https://www.chrono24.com/rolex/rolex-datejust-36-like-new--id39419327.htm</t>
  </si>
  <si>
    <t>WIMBLEDON Ref 126234 Stainless Steel Box Papers Bj-2024</t>
  </si>
  <si>
    <t>https://www.chrono24.com/rolex/datejust-wimbledon-ref-126234-stainless-steel-box-papers-bj-2024--id42640056.htm</t>
  </si>
  <si>
    <t>126234G Automatic 2020 Good</t>
  </si>
  <si>
    <t>https://www.chrono24.com/rolex/126687-rolex----36-10p-126234g----wgss-----id42934920.htm</t>
  </si>
  <si>
    <t>36mm Blue Motif Diamond Dial 2023 Oyster - 126234</t>
  </si>
  <si>
    <t>https://www.chrono24.com/rolex/rolex-datejust-36mm-blue-motif-diamond-dial-2023-oyster---126234--id42810060.htm</t>
  </si>
  <si>
    <t>126234 Automatic White gold and steel Very good</t>
  </si>
  <si>
    <t>https://www.chrono24.com/rolex/--126234-ssxwg----id43020653.htm</t>
  </si>
  <si>
    <t>126234 Automatic 2021 Very good</t>
  </si>
  <si>
    <t>https://www.chrono24.com/rolex/125653-rolex----36-126234---wgss-----id42951241.htm</t>
  </si>
  <si>
    <t>Bright Black Index Dial Stainless Steel Fluted Bezel Oyster Bracelet</t>
  </si>
  <si>
    <t>https://www.chrono24.com/rolex/rolex-datejust-36-bright-black-index-dial-stainless-steel-fluted-bezel-oyster-bracelet--id42982932.htm</t>
  </si>
  <si>
    <t>https://www.chrono24.com/rolex/datejust-36--id42524527.htm</t>
  </si>
  <si>
    <t>02/2024 Fullset</t>
  </si>
  <si>
    <t>https://www.chrono24.com/rolex/rolex-datejust-36--id43517380.htm</t>
  </si>
  <si>
    <t>Full Set 2024</t>
  </si>
  <si>
    <t>https://www.chrono24.com/rolex/datejust-36--id43445947.htm</t>
  </si>
  <si>
    <t>Full Set top Zustand</t>
  </si>
  <si>
    <t>Rolex Datejust 36 Full Set top Zustand for $12,697 for sale from a Private Seller on Chrono24</t>
  </si>
  <si>
    <t>full set</t>
  </si>
  <si>
    <t>https://www.chrono24.com/rolex/datejust-36--id43585810.htm</t>
  </si>
  <si>
    <t>Jubilee band full box and papers</t>
  </si>
  <si>
    <t>Rolex Datejust 36 Jubilee band, full box and papers, barely worn for $11,715 for sale from a Private Seller on Chrono24</t>
  </si>
  <si>
    <t>126234 Automatic 2022 Steel Very good</t>
  </si>
  <si>
    <t>Rolex Datejust 36 126234 Automatic 2022 Steel Very good for $11,056 for sale from a Private Seller on Chrono24</t>
  </si>
  <si>
    <t>geprüft mit zweijähriger Garantie Full Set</t>
  </si>
  <si>
    <t>Rolex Datejust 36 Rolex geprüft, mit zweijähriger Garantie,... for $15,618 for sale from a Private Seller on Chrono24</t>
  </si>
  <si>
    <t>Blue Dial Oyster Bracelet with Guarantee Random Serial</t>
  </si>
  <si>
    <t>https://www.chrono24.com/rolex/rolex-datejust-36--id43656933.htm</t>
  </si>
  <si>
    <t>Rolex Datejust 36 for $13,148 for sale from a Trusted Seller on Chrono24</t>
  </si>
  <si>
    <t>Rolex Datejust 36 for $12,719 for sale from a Trusted Seller on Chrono24</t>
  </si>
  <si>
    <t>Purple DJ 36 Roman</t>
  </si>
  <si>
    <t>Rolex Datejust 36 Purple DJ 36 Roman for $14,752 for sale from a Seller on Chrono24</t>
  </si>
  <si>
    <t>Full Set_blue dial</t>
  </si>
  <si>
    <t>Rolex Datejust 36 Full Set_blue dial for $12,923 for sale from a Private Seller on Chrono24</t>
  </si>
  <si>
    <t>Full set - Wimbledon 2025</t>
  </si>
  <si>
    <t>Rolex Datejust 36 Full set - Wimbledon 2025 for $13,067 for sale from a Private Seller on Chrono24</t>
  </si>
  <si>
    <t>Full set August 2024 (Wimbledon). Incredible condition</t>
  </si>
  <si>
    <t>Rolex Datejust 36 Full set August 2024 (Wimbledon). Incredible... for $13,067 for sale from a Private Seller on Chrono24</t>
  </si>
  <si>
    <t>Mother of Pearl Diamonds Full Set Top Conditions Official Rolex Warranty</t>
  </si>
  <si>
    <t>Rolex Datejust 36 Mother of Pearl Diamonds Full Set Top... for $18,134 for sale from a Trusted Seller on Chrono24</t>
  </si>
  <si>
    <t>Rolex Datejust for $11,235 for sale from a Trusted Seller on Chrono24</t>
  </si>
  <si>
    <t>Rolex Datejust 36 for $12,221 for sale from a Private Seller on Chrono24</t>
  </si>
  <si>
    <t>Rolex Datejust 36 for $12,798 for sale from a Seller on Chrono24</t>
  </si>
  <si>
    <t>Rolex Datejust 36 for $13,284 for sale from a Private Seller on Chrono24</t>
  </si>
  <si>
    <t>Rolex Datejust 36 for $12,871 for sale from a Private Seller on Chrono24</t>
  </si>
  <si>
    <t>2023 full set</t>
  </si>
  <si>
    <t>Rolex Datejust 36 2023 full set for $13,408 for sale from a Trusted Seller on Chrono24</t>
  </si>
  <si>
    <t>2020 full set</t>
  </si>
  <si>
    <t>Rolex Datejust 36 2020 full set for $13,840 for sale from a Trusted Seller on Chrono24</t>
  </si>
  <si>
    <t>Rolex Datejust 36 for $12,743 for sale from a Trusted Seller on Chrono24</t>
  </si>
  <si>
    <t>126234 Blue Dial Fluted Gold Bezel + Box</t>
  </si>
  <si>
    <t>Rolex Datejust 36 126234 Blue Dial Fluted Gold Bezel + Box for $9,995 for sale from a Trusted Seller on Chrono24</t>
  </si>
  <si>
    <t>Fluted bezel Anniversary Dial</t>
  </si>
  <si>
    <t>Rolex Datejust 36 Fluted bezel Anniversary Dial for $9,400 for sale from a Trusted Seller on Chrono24</t>
  </si>
  <si>
    <t>VI/IX Diamond 126234 Silver Roman 3 row oyster bracelet Random Number USED mens</t>
  </si>
  <si>
    <t>Rolex Datejust 36 VI/IX Diamond 126234 Silver Roman 3 row... for $12,693 for sale from a Trusted Seller on Chrono24</t>
  </si>
  <si>
    <t>126234 Steel 36mm Silver Index Dial Jubilee Bracelet Complete</t>
  </si>
  <si>
    <t>Rolex Datejust 126234 Steel 36mm Silver Index Dial Jubilee... for $12,135 for sale from a Trusted Seller on Chrono24</t>
  </si>
  <si>
    <t>Rolex Datejust 36 for $9,000 for sale from a Trusted Seller on Chrono24</t>
  </si>
  <si>
    <t>Full Set</t>
  </si>
  <si>
    <t>like new service</t>
  </si>
  <si>
    <t>Oyster et or Gris</t>
  </si>
  <si>
    <t>Blue Diamond Oyster</t>
  </si>
  <si>
    <t>Jubilee Silver Diamond Dial</t>
  </si>
  <si>
    <t>36mm 126234-0017 Bright Blue Index Dial</t>
  </si>
  <si>
    <t>Full Set Like New</t>
  </si>
  <si>
    <t>Mint Green</t>
  </si>
  <si>
    <t>Pre-owned Datejust 36 Green Palm Motif Diamond Dial Oyster Bracelet 126234</t>
  </si>
  <si>
    <t>fluted Aniv. Blue Dial</t>
  </si>
  <si>
    <t>36mm 126234 Mint Green Dial Fluted Jubilee 2022</t>
  </si>
  <si>
    <t>Rolex Datejust 36mm 126234 Mint Green Dial Fluted Jubilee 2022 for $12,999 for sale from a Trusted Seller on Chrono24</t>
  </si>
  <si>
    <t>Rolex Datejust 36 Full Set for $10,400 for sale from a Private Seller on Chrono24</t>
  </si>
  <si>
    <t>Rolex Datejust 36 like new service for $8,955 for sale from a Trusted Seller on Chrono24</t>
  </si>
  <si>
    <t>Rolex Datejust 36 Datejust36 oyster et or gris for $15,303 for sale from a Private Seller on Chrono24</t>
  </si>
  <si>
    <t>Rolex Datejust 36 Blue Diamond Oyster - Papers 10/ 2020 for $13,737 for sale from a Trusted Seller on Chrono24</t>
  </si>
  <si>
    <t>Rolex Datejust 36 Jubilee Silver Diamond Dial for $15,536 for sale from a Seller on Chrono24</t>
  </si>
  <si>
    <t>Rolex Datejust 36 36mm 126234-0017 Bright Blue Index Dial for $11,127 for sale from a Trusted Seller on Chrono24</t>
  </si>
  <si>
    <t>Rolex Datejust 36 Full Set Like New - 2021 for $12,673 for sale from a Trusted Seller on Chrono24</t>
  </si>
  <si>
    <t>Rolex Datejust 36 Mint Green for $11,956 for sale from a Seller on Chrono24</t>
  </si>
  <si>
    <t>Rolex - Pre-owned Datejust 36 Green Palm Motif Diamond Dial... for $18,650 for sale from a Trusted Seller on Chrono24</t>
  </si>
  <si>
    <t>Rolex Datejust 36 fluted Aniv. Blue Dial for $9,400 for sale from a Trusted Seller on Chrono24</t>
  </si>
  <si>
    <t>36mm Blue Dial Fluted Bezel Jubilee 126234</t>
  </si>
  <si>
    <t>https://www.chrono24.com/rolex/datejust-36--id43100570.htm</t>
  </si>
  <si>
    <t>Stainless Steel Factory Blue Index</t>
  </si>
  <si>
    <t>Rolex Datejust 36 Stainless Steel Factory Blue Index for $10,499 for sale from a Trusted Seller on Chrono24</t>
  </si>
  <si>
    <t>Complete Set Pink Diamond Roman Jubilee Bracelet</t>
  </si>
  <si>
    <t>https://www.chrono24.com/rolex/rolex-datejust-36--id44618716.htm</t>
  </si>
  <si>
    <t>FULL SET 2024 Datejust 36mm 126234 Oyster Wimbledon</t>
  </si>
  <si>
    <t>https://www.chrono24.com/rolex/rolex-datejust-36--id43930082.htm</t>
  </si>
  <si>
    <t>2020 Comes with Box Only</t>
  </si>
  <si>
    <t>Rolex Datejust 36 2020 Comes with Box Only for $10,999 for sale from a Trusted Seller on Chrono24</t>
  </si>
  <si>
    <t>Blue Motif Dial - Fluted - Jubilee - Box Papers</t>
  </si>
  <si>
    <t>Rolex Datejust 36 Blue Motif Dial - Fluted - Jubilee - Box Papers for $14,400 for sale from a Seller on Chrono24</t>
  </si>
  <si>
    <t>Condition (0=fair, 1=good, 2=very good)</t>
  </si>
  <si>
    <t>Professional 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</si>
</sst>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91919"/>
      <name val="Arial"/>
      <family val="2"/>
    </font>
    <font>
      <u/>
      <sz val="11"/>
      <color theme="10"/>
      <name val="Calibri"/>
      <family val="2"/>
      <scheme val="minor"/>
    </font>
    <font>
      <sz val="10"/>
      <color rgb="FF19191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3" fontId="0" fillId="0" borderId="0" xfId="0" applyNumberFormat="1"/>
    <xf numFmtId="0" fontId="4" fillId="0" borderId="0" xfId="1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0" xfId="1" applyFill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 wrapText="1"/>
    </xf>
    <xf numFmtId="3" fontId="6" fillId="0" borderId="0" xfId="0" applyNumberFormat="1" applyFont="1"/>
    <xf numFmtId="0" fontId="7" fillId="0" borderId="0" xfId="1" applyFont="1" applyAlignment="1">
      <alignment wrapText="1"/>
    </xf>
    <xf numFmtId="164" fontId="8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0" fontId="9" fillId="0" borderId="0" xfId="0" applyFont="1" applyAlignment="1">
      <alignment wrapText="1"/>
    </xf>
    <xf numFmtId="3" fontId="10" fillId="0" borderId="0" xfId="0" applyNumberFormat="1" applyFont="1"/>
    <xf numFmtId="164" fontId="6" fillId="0" borderId="0" xfId="0" applyNumberFormat="1" applyFont="1" applyAlignment="1">
      <alignment horizontal="right" vertical="center" wrapText="1"/>
    </xf>
    <xf numFmtId="0" fontId="0" fillId="2" borderId="0" xfId="0" applyFill="1"/>
    <xf numFmtId="0" fontId="0" fillId="2" borderId="0" xfId="0" applyFill="1" applyAlignment="1">
      <alignment horizontal="left" wrapText="1"/>
    </xf>
    <xf numFmtId="3" fontId="0" fillId="2" borderId="0" xfId="0" applyNumberFormat="1" applyFill="1"/>
    <xf numFmtId="164" fontId="0" fillId="2" borderId="0" xfId="0" applyNumberFormat="1" applyFill="1" applyAlignment="1">
      <alignment horizontal="right" vertical="center" wrapText="1"/>
    </xf>
    <xf numFmtId="0" fontId="4" fillId="2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hrono24.com/rolex/-oyster-perpetual-datejust-36--ref-116200---full-set--id41427096.htm" TargetMode="External"/><Relationship Id="rId21" Type="http://schemas.openxmlformats.org/officeDocument/2006/relationships/hyperlink" Target="https://www.chrono24.com/rolex/datejust-36-126234-stainless-steel-slate-wimbledon-dial-jubilee-2022--id39021629.htm" TargetMode="External"/><Relationship Id="rId42" Type="http://schemas.openxmlformats.org/officeDocument/2006/relationships/hyperlink" Target="https://www.chrono24.com/rolex/datejust-36-126234-diamond-mop-dial-mens-watch-box-paper--id36659377.htm" TargetMode="External"/><Relationship Id="rId63" Type="http://schemas.openxmlformats.org/officeDocument/2006/relationships/hyperlink" Target="https://www.chrono24.com/rolex/--36-126234--k18wgss------id40057681.htm" TargetMode="External"/><Relationship Id="rId84" Type="http://schemas.openxmlformats.org/officeDocument/2006/relationships/hyperlink" Target="https://www.chrono24.com/rolex/datejust-36-126234--id39482749.htm" TargetMode="External"/><Relationship Id="rId138" Type="http://schemas.openxmlformats.org/officeDocument/2006/relationships/hyperlink" Target="https://www.chrono24.com/rolex/datejust-36--id43445947.htm" TargetMode="External"/><Relationship Id="rId159" Type="http://schemas.openxmlformats.org/officeDocument/2006/relationships/hyperlink" Target="https://www.chrono24.com/rolex/rolex-datejust-36--id27977763.htm" TargetMode="External"/><Relationship Id="rId170" Type="http://schemas.openxmlformats.org/officeDocument/2006/relationships/hyperlink" Target="https://www.chrono24.com/rolex/datejust-36-jubilee-silver-diamond-dial--id44271438.htm?searchHash=2d3af47c_6Pom1m&amp;pos=201" TargetMode="External"/><Relationship Id="rId107" Type="http://schemas.openxmlformats.org/officeDocument/2006/relationships/hyperlink" Target="https://www.chrono24.com/rolex/rolex-datejust-36-quadrante-in-diamanti-blu-jubilee-del-2019-full-set-excellent-condition--id39819851.htm" TargetMode="External"/><Relationship Id="rId11" Type="http://schemas.openxmlformats.org/officeDocument/2006/relationships/hyperlink" Target="https://www.chrono24.com/rolex/datejust-36--id39397993.htm" TargetMode="External"/><Relationship Id="rId32" Type="http://schemas.openxmlformats.org/officeDocument/2006/relationships/hyperlink" Target="https://www.chrono24.com/rolex/rolex-datejust-36--id40185976.htm" TargetMode="External"/><Relationship Id="rId53" Type="http://schemas.openxmlformats.org/officeDocument/2006/relationships/hyperlink" Target="https://www.chrono24.com/rolex/rolex-datejust-36mm-ss---wg-fluted-bezel---blue-jubilee-diamond-dial---jubilee-bracelet-126234--id39350741.htm" TargetMode="External"/><Relationship Id="rId74" Type="http://schemas.openxmlformats.org/officeDocument/2006/relationships/hyperlink" Target="https://www.chrono24.com/rolex/datejust-36-126234-diamond-mop-dial-mens-watch-box-paper--id36659377.htm" TargetMode="External"/><Relationship Id="rId128" Type="http://schemas.openxmlformats.org/officeDocument/2006/relationships/hyperlink" Target="https://www.chrono24.com/rolex/rolex-datejust-36-white-roman-dial-stainless-steel-fluted-bezel-jubilee-bracelet--id43145376.htm" TargetMode="External"/><Relationship Id="rId149" Type="http://schemas.openxmlformats.org/officeDocument/2006/relationships/hyperlink" Target="https://www.chrono24.com/rolex/datejust-36--id43653327.htm" TargetMode="External"/><Relationship Id="rId5" Type="http://schemas.openxmlformats.org/officeDocument/2006/relationships/hyperlink" Target="https://www.chrono24.com/rolex/rolex-datejust-36--weissgoldluenette---2024--126234--id37838299.htm" TargetMode="External"/><Relationship Id="rId95" Type="http://schemas.openxmlformats.org/officeDocument/2006/relationships/hyperlink" Target="https://www.chrono24.com/rolex/rolex-datejust-36--id38046106.htm" TargetMode="External"/><Relationship Id="rId160" Type="http://schemas.openxmlformats.org/officeDocument/2006/relationships/hyperlink" Target="https://www.chrono24.com/rolex/rolex-datejust-36--id43669280.htm" TargetMode="External"/><Relationship Id="rId181" Type="http://schemas.openxmlformats.org/officeDocument/2006/relationships/hyperlink" Target="https://www.chrono24.com/rolex/rolex-datejust-36--id44043008.htm" TargetMode="External"/><Relationship Id="rId22" Type="http://schemas.openxmlformats.org/officeDocument/2006/relationships/hyperlink" Target="https://www.chrono24.com/rolex/datejust-36-126234-wimbledon-dial-mens-watch-box-papers--id39821153.htm" TargetMode="External"/><Relationship Id="rId43" Type="http://schemas.openxmlformats.org/officeDocument/2006/relationships/hyperlink" Target="https://www.chrono24.com/rolex/datejust-stainless-steel--18k-white-gold--diamonds-ladys-watch--id39938724.htm" TargetMode="External"/><Relationship Id="rId64" Type="http://schemas.openxmlformats.org/officeDocument/2006/relationships/hyperlink" Target="https://www.chrono24.com/rolex/rolex-datejust-36-quadrante-pink-in-diamanti-ore-6-e-9-del-2022-full-set-top-condition--id40413094.htm" TargetMode="External"/><Relationship Id="rId118" Type="http://schemas.openxmlformats.org/officeDocument/2006/relationships/hyperlink" Target="https://www.chrono24.com/rolex/rolex-datejust-36--id42904997.htm" TargetMode="External"/><Relationship Id="rId139" Type="http://schemas.openxmlformats.org/officeDocument/2006/relationships/hyperlink" Target="https://www.chrono24.com/rolex/datejust-36--id42820388.htm" TargetMode="External"/><Relationship Id="rId85" Type="http://schemas.openxmlformats.org/officeDocument/2006/relationships/hyperlink" Target="https://www.chrono24.com/rolex/rolex-datejust-36-126234--full-set--2021--id40891391.htm" TargetMode="External"/><Relationship Id="rId150" Type="http://schemas.openxmlformats.org/officeDocument/2006/relationships/hyperlink" Target="https://www.chrono24.com/rolex/datejust-36--id43739622.htm" TargetMode="External"/><Relationship Id="rId171" Type="http://schemas.openxmlformats.org/officeDocument/2006/relationships/hyperlink" Target="https://www.chrono24.com/rolex/rolex-datejust-36-36mm-126234-0017-bright-blue-index-dial--id43650183.htm?searchHash=d464c463_lypd0R&amp;pos=1" TargetMode="External"/><Relationship Id="rId12" Type="http://schemas.openxmlformats.org/officeDocument/2006/relationships/hyperlink" Target="https://www.chrono24.com/rolex/datejust-36--id39442259.htm" TargetMode="External"/><Relationship Id="rId33" Type="http://schemas.openxmlformats.org/officeDocument/2006/relationships/hyperlink" Target="https://www.chrono24.com/rolex/rolex-datejust-36-stainless-steel-white-gold-green-dial-126234--id37948336.htm" TargetMode="External"/><Relationship Id="rId108" Type="http://schemas.openxmlformats.org/officeDocument/2006/relationships/hyperlink" Target="https://www.chrono24.com/rolex/datejust-36--id42527364.htm" TargetMode="External"/><Relationship Id="rId129" Type="http://schemas.openxmlformats.org/officeDocument/2006/relationships/hyperlink" Target="https://www.chrono24.com/rolex/rolex-datejust-36-like-new--id39419327.htm" TargetMode="External"/><Relationship Id="rId54" Type="http://schemas.openxmlformats.org/officeDocument/2006/relationships/hyperlink" Target="https://www.chrono24.com/rolex/rolex-datejust-36-ref-126234-green-mint---new-2025-full-set--id40429092.htm" TargetMode="External"/><Relationship Id="rId75" Type="http://schemas.openxmlformats.org/officeDocument/2006/relationships/hyperlink" Target="https://www.chrono24.com/rolex/datejust-36---blue-motif-dial---like-new---lc-de---first-buyer-invoice--id39943384.htm" TargetMode="External"/><Relationship Id="rId96" Type="http://schemas.openxmlformats.org/officeDocument/2006/relationships/hyperlink" Target="https://www.chrono24.com/rolex/36--10p----id40719858.htm" TargetMode="External"/><Relationship Id="rId140" Type="http://schemas.openxmlformats.org/officeDocument/2006/relationships/hyperlink" Target="https://www.chrono24.com/rolex/datejust-36--id43585810.htm" TargetMode="External"/><Relationship Id="rId161" Type="http://schemas.openxmlformats.org/officeDocument/2006/relationships/hyperlink" Target="https://www.chrono24.com/rolex/datejust-36--id43623624.htm?searchHash=592ca400_VlXMkH&amp;pos=19" TargetMode="External"/><Relationship Id="rId182" Type="http://schemas.openxmlformats.org/officeDocument/2006/relationships/printerSettings" Target="../printerSettings/printerSettings1.bin"/><Relationship Id="rId6" Type="http://schemas.openxmlformats.org/officeDocument/2006/relationships/hyperlink" Target="https://www.chrono24.com/rolex/datejust---126234---2024--id39270240.htm" TargetMode="External"/><Relationship Id="rId23" Type="http://schemas.openxmlformats.org/officeDocument/2006/relationships/hyperlink" Target="https://www.chrono24.com/rolex/rolex-datejust-36mm-blue-dial-2023-jubilee---126234--id40572333.htm" TargetMode="External"/><Relationship Id="rId119" Type="http://schemas.openxmlformats.org/officeDocument/2006/relationships/hyperlink" Target="https://www.chrono24.com/rolex/datejust-36-jubilee-fluted-blue-diamond-dial--id42145336.htm" TargetMode="External"/><Relationship Id="rId44" Type="http://schemas.openxmlformats.org/officeDocument/2006/relationships/hyperlink" Target="https://www.chrono24.com/rolex/datejust-stainless-steel--18k-white-gold-unisex-watch--id39437249.htm" TargetMode="External"/><Relationship Id="rId60" Type="http://schemas.openxmlformats.org/officeDocument/2006/relationships/hyperlink" Target="https://www.chrono24.com/rolex/rolex-datejust-36-quadrante-in-diamanti-ore-6--9-aubergine-purple-viola-del-2019-full-set--id38140345.htm" TargetMode="External"/><Relationship Id="rId65" Type="http://schemas.openxmlformats.org/officeDocument/2006/relationships/hyperlink" Target="https://www.chrono24.com/rolex/36--10p---id39945726.htm" TargetMode="External"/><Relationship Id="rId81" Type="http://schemas.openxmlformats.org/officeDocument/2006/relationships/hyperlink" Target="https://www.chrono24.com/rolex/datejust-36--id40743057.htm" TargetMode="External"/><Relationship Id="rId86" Type="http://schemas.openxmlformats.org/officeDocument/2006/relationships/hyperlink" Target="https://www.chrono24.com/rolex/rolex-datejust-36-blue-motif-dial-stainless-steel-fluted-bezel-oyster-bracelet--id39658934.htm" TargetMode="External"/><Relationship Id="rId130" Type="http://schemas.openxmlformats.org/officeDocument/2006/relationships/hyperlink" Target="https://www.chrono24.com/rolex/datejust-wimbledon-ref-126234-stainless-steel-box-papers-bj-2024--id42640056.htm" TargetMode="External"/><Relationship Id="rId135" Type="http://schemas.openxmlformats.org/officeDocument/2006/relationships/hyperlink" Target="https://www.chrono24.com/rolex/rolex-datejust-36-bright-black-index-dial-stainless-steel-fluted-bezel-oyster-bracelet--id42982932.htm" TargetMode="External"/><Relationship Id="rId151" Type="http://schemas.openxmlformats.org/officeDocument/2006/relationships/hyperlink" Target="https://www.chrono24.com/rolex/rolex-rolex-datejust-36-mother-of-pearl-diamonds-full-set--id43332712.htm" TargetMode="External"/><Relationship Id="rId156" Type="http://schemas.openxmlformats.org/officeDocument/2006/relationships/hyperlink" Target="https://www.chrono24.com/rolex/datejust-36--id34496390.htm" TargetMode="External"/><Relationship Id="rId177" Type="http://schemas.openxmlformats.org/officeDocument/2006/relationships/hyperlink" Target="https://www.chrono24.com/rolex/rolex-datejust-36--id44377980.htm" TargetMode="External"/><Relationship Id="rId172" Type="http://schemas.openxmlformats.org/officeDocument/2006/relationships/hyperlink" Target="https://www.chrono24.com/rolex/rolex-datejust-36--id43715536.htm?searchHash=26ad1bab_FS95ML&amp;pos=6" TargetMode="External"/><Relationship Id="rId13" Type="http://schemas.openxmlformats.org/officeDocument/2006/relationships/hyperlink" Target="https://www.chrono24.com/rolex/datejust--id40252832.htm" TargetMode="External"/><Relationship Id="rId18" Type="http://schemas.openxmlformats.org/officeDocument/2006/relationships/hyperlink" Target="https://www.chrono24.com/rolex/rolex-midsize-datejust-36mm--id22127896.htm" TargetMode="External"/><Relationship Id="rId39" Type="http://schemas.openxmlformats.org/officeDocument/2006/relationships/hyperlink" Target="https://www.chrono24.com/rolex/rolex-datejust-36-quadrante-argento-del-2022-full-set-top-condition-con-documenti-e-scatola--id40628162.htm" TargetMode="External"/><Relationship Id="rId109" Type="http://schemas.openxmlformats.org/officeDocument/2006/relationships/hyperlink" Target="https://www.chrono24.com/rolex/datejust-36-wimbledon-dial-126234--id37627940.htm" TargetMode="External"/><Relationship Id="rId34" Type="http://schemas.openxmlformats.org/officeDocument/2006/relationships/hyperlink" Target="https://www.chrono24.com/rolex/in-stock-2025-datejust-36-blue-index-dial-126234-oyster-bracelet--id40457466.htm" TargetMode="External"/><Relationship Id="rId50" Type="http://schemas.openxmlformats.org/officeDocument/2006/relationships/hyperlink" Target="https://www.chrono24.com/rolex/datejust-126234-36mm-stainless-steel-watch--id38109275.htm" TargetMode="External"/><Relationship Id="rId55" Type="http://schemas.openxmlformats.org/officeDocument/2006/relationships/hyperlink" Target="https://www.chrono24.com/rolex/rolex-datejust-36-white-roman-dial-stainless-steel-fluted-bezel-oyster-bracelet-pre-owned--id36091100.htm" TargetMode="External"/><Relationship Id="rId76" Type="http://schemas.openxmlformats.org/officeDocument/2006/relationships/hyperlink" Target="https://www.chrono24.com/rolex/rolex-datejust-36-white-roman-dial-stainless-steel-fluted-bezel-oyster-bracelet-pre-owned--id34941299.htm?searchHash=748915e8_zaEUBl&amp;pos=198" TargetMode="External"/><Relationship Id="rId97" Type="http://schemas.openxmlformats.org/officeDocument/2006/relationships/hyperlink" Target="https://www.chrono24.com/rolex/rolex-datejust-36--id39043415.htm" TargetMode="External"/><Relationship Id="rId104" Type="http://schemas.openxmlformats.org/officeDocument/2006/relationships/hyperlink" Target="https://www.chrono24.com/rolex/rolex-datejust-36--id42650781.htm" TargetMode="External"/><Relationship Id="rId120" Type="http://schemas.openxmlformats.org/officeDocument/2006/relationships/hyperlink" Target="https://www.chrono24.com/rolex/rolex-datejustref-126234full-setdiamonds-dial2021-710--id40589575.htm" TargetMode="External"/><Relationship Id="rId125" Type="http://schemas.openxmlformats.org/officeDocument/2006/relationships/hyperlink" Target="https://www.chrono24.com/rolex/rolex-datejust-36-wimbledon--id41173238.htm" TargetMode="External"/><Relationship Id="rId141" Type="http://schemas.openxmlformats.org/officeDocument/2006/relationships/hyperlink" Target="https://www.chrono24.com/rolex/datejust-36--id41623893.htm" TargetMode="External"/><Relationship Id="rId146" Type="http://schemas.openxmlformats.org/officeDocument/2006/relationships/hyperlink" Target="https://www.chrono24.com/rolex/rolex-datejust-36--id42896067.htm" TargetMode="External"/><Relationship Id="rId167" Type="http://schemas.openxmlformats.org/officeDocument/2006/relationships/hyperlink" Target="https://www.chrono24.com/rolex/rolex-datejust-36-like-new--id39419327.htm" TargetMode="External"/><Relationship Id="rId7" Type="http://schemas.openxmlformats.org/officeDocument/2006/relationships/hyperlink" Target="https://www.chrono24.com/rolex/datejust-36--id37421098.htm" TargetMode="External"/><Relationship Id="rId71" Type="http://schemas.openxmlformats.org/officeDocument/2006/relationships/hyperlink" Target="https://www.chrono24.com/rolex/datejust-36-126234--id38157801.htm" TargetMode="External"/><Relationship Id="rId92" Type="http://schemas.openxmlformats.org/officeDocument/2006/relationships/hyperlink" Target="https://www.chrono24.com/rolex/datejust-36-126234--id39522761.htm" TargetMode="External"/><Relationship Id="rId162" Type="http://schemas.openxmlformats.org/officeDocument/2006/relationships/hyperlink" Target="https://www.chrono24.com/rolex/rolex-datejust-36-viix-diamond-126234-silver-roman-3-row-oyster-bracelet-random-number-used-mens--id40464466.htm" TargetMode="External"/><Relationship Id="rId2" Type="http://schemas.openxmlformats.org/officeDocument/2006/relationships/hyperlink" Target="https://www.chrono24.com/rolex/rolex-datejust-36--id38136329.htm" TargetMode="External"/><Relationship Id="rId29" Type="http://schemas.openxmlformats.org/officeDocument/2006/relationships/hyperlink" Target="https://www.chrono24.com/rolex/datejust-36--id38486111.htm" TargetMode="External"/><Relationship Id="rId24" Type="http://schemas.openxmlformats.org/officeDocument/2006/relationships/hyperlink" Target="https://www.chrono24.com/rolex/rolex-datejust-36-wimbeldon-oyster-126234-papiere-11-2023--id40532543.htm" TargetMode="External"/><Relationship Id="rId40" Type="http://schemas.openxmlformats.org/officeDocument/2006/relationships/hyperlink" Target="https://www.chrono24.com/rolex/rolex-datejust-36mm-del-2021-quadrante-con-diamanti-ore-6--9-jubilee-full-set-top-condition--id40628069.htm" TargetMode="External"/><Relationship Id="rId45" Type="http://schemas.openxmlformats.org/officeDocument/2006/relationships/hyperlink" Target="https://www.chrono24.com/rolex/rolex-datejust-36mm-stainless-steel---grey-dial---steel-bracelet-126234--id37822670.htm" TargetMode="External"/><Relationship Id="rId66" Type="http://schemas.openxmlformats.org/officeDocument/2006/relationships/hyperlink" Target="https://www.chrono24.com/rolex/--126234-sswg--id39404901.htm" TargetMode="External"/><Relationship Id="rId87" Type="http://schemas.openxmlformats.org/officeDocument/2006/relationships/hyperlink" Target="https://www.chrono24.com/rolex/rolex-datejust-36--id34780137.htm" TargetMode="External"/><Relationship Id="rId110" Type="http://schemas.openxmlformats.org/officeDocument/2006/relationships/hyperlink" Target="https://www.chrono24.com/rolex/oyster-perpetual-datejust-36-ref-126234--id37817902.htm" TargetMode="External"/><Relationship Id="rId115" Type="http://schemas.openxmlformats.org/officeDocument/2006/relationships/hyperlink" Target="https://www.chrono24.com/rolex/rolex-datejust-36-blue-motif-dial-stainless-steel-oyster-bracelet-fluted-bezel--id43145286.htm" TargetMode="External"/><Relationship Id="rId131" Type="http://schemas.openxmlformats.org/officeDocument/2006/relationships/hyperlink" Target="https://www.chrono24.com/rolex/126687-rolex----36-10p-126234g----wgss-----id42934920.htm" TargetMode="External"/><Relationship Id="rId136" Type="http://schemas.openxmlformats.org/officeDocument/2006/relationships/hyperlink" Target="https://www.chrono24.com/rolex/datejust-36--id42524527.htm" TargetMode="External"/><Relationship Id="rId157" Type="http://schemas.openxmlformats.org/officeDocument/2006/relationships/hyperlink" Target="https://www.chrono24.com/rolex/rolex-datejust-36--id43600438.htm" TargetMode="External"/><Relationship Id="rId178" Type="http://schemas.openxmlformats.org/officeDocument/2006/relationships/hyperlink" Target="https://www.chrono24.com/rolex/rolex-datejust-36--id44618716.htm" TargetMode="External"/><Relationship Id="rId61" Type="http://schemas.openxmlformats.org/officeDocument/2006/relationships/hyperlink" Target="https://www.chrono24.com/rolex/rolex-datejust-36-black-index-dial-stainless-steel-fluted-bezel-oyster-bracelet--id38880929.htm" TargetMode="External"/><Relationship Id="rId82" Type="http://schemas.openxmlformats.org/officeDocument/2006/relationships/hyperlink" Target="https://www.chrono24.com/rolex/rolex-datejust-36-126234-black-bar-5-rows-jubilee-bracelet-random-number-used-mens--id38834589.htm" TargetMode="External"/><Relationship Id="rId152" Type="http://schemas.openxmlformats.org/officeDocument/2006/relationships/hyperlink" Target="https://www.chrono24.com/rolex/datejust--id34604201.htm" TargetMode="External"/><Relationship Id="rId173" Type="http://schemas.openxmlformats.org/officeDocument/2006/relationships/hyperlink" Target="https://www.chrono24.com/rolex/rolex-datejust-36--id43138372.htm" TargetMode="External"/><Relationship Id="rId19" Type="http://schemas.openxmlformats.org/officeDocument/2006/relationships/hyperlink" Target="https://www.chrono24.com/rolex/rolex-datejust-36-steel--white-gold-pink-jubilee-diamond-dial-on-oyster-watch--box--id40096566.htm" TargetMode="External"/><Relationship Id="rId14" Type="http://schemas.openxmlformats.org/officeDocument/2006/relationships/hyperlink" Target="https://www.chrono24.com/rolex/rolex-datejust-36--id40185976.htm" TargetMode="External"/><Relationship Id="rId30" Type="http://schemas.openxmlformats.org/officeDocument/2006/relationships/hyperlink" Target="https://www.chrono24.com/rolex/rolex-datejust-36--id39831575.htm" TargetMode="External"/><Relationship Id="rId35" Type="http://schemas.openxmlformats.org/officeDocument/2006/relationships/hyperlink" Target="https://www.chrono24.com/rolex/datejust-36-2023-discontinued-blue-motif-dial--id34089401.htm" TargetMode="External"/><Relationship Id="rId56" Type="http://schemas.openxmlformats.org/officeDocument/2006/relationships/hyperlink" Target="https://www.chrono24.com/rolex/datejust-36-random-serial-oyster-bracelet-126234--id39066514.htm" TargetMode="External"/><Relationship Id="rId77" Type="http://schemas.openxmlformats.org/officeDocument/2006/relationships/hyperlink" Target="https://www.chrono24.com/rolex/rolex-datejust-36-full-set-2024-mop-dial-diamonds--id30603437.htm" TargetMode="External"/><Relationship Id="rId100" Type="http://schemas.openxmlformats.org/officeDocument/2006/relationships/hyperlink" Target="https://www.chrono24.com/rolex/rolex-datejust-36-mother-of-pearl-dial-126234-year-2020-complete-set--id40970976.htm" TargetMode="External"/><Relationship Id="rId105" Type="http://schemas.openxmlformats.org/officeDocument/2006/relationships/hyperlink" Target="https://www.chrono24.com/rolex/rolex-datejust-36-126234-mint-green-bar-3-rows-oyster-breath-random-number-used-mens--id41956769.htm" TargetMode="External"/><Relationship Id="rId126" Type="http://schemas.openxmlformats.org/officeDocument/2006/relationships/hyperlink" Target="https://www.chrono24.com/rolex/datejust-36-126234-2022-stahl-weissgold-750-perlmutt-diamanten-automatik-stainless-steel-18kt-white-gold-jubile-band-chronometer-oyster--id42874877.htm" TargetMode="External"/><Relationship Id="rId147" Type="http://schemas.openxmlformats.org/officeDocument/2006/relationships/hyperlink" Target="https://www.chrono24.com/rolex/rolex-datejust-36--id43632631.htm" TargetMode="External"/><Relationship Id="rId168" Type="http://schemas.openxmlformats.org/officeDocument/2006/relationships/hyperlink" Target="https://www.chrono24.com/rolex/datejust-36--id38814619.htm?searchHash=d825d36b_3aYMTb&amp;pos=1" TargetMode="External"/><Relationship Id="rId8" Type="http://schemas.openxmlformats.org/officeDocument/2006/relationships/hyperlink" Target="https://www.chrono24.com/rolex/rolex-datejust-36mm-wimbledon-dial-fluted-bezel--id30309992.htm" TargetMode="External"/><Relationship Id="rId51" Type="http://schemas.openxmlformats.org/officeDocument/2006/relationships/hyperlink" Target="https://www.chrono24.com/rolex/rolex-datejust-36mm-stainless-steel---fluted-bezel---blue-dial---oyster-bracelet-126234--id38861417.htm" TargetMode="External"/><Relationship Id="rId72" Type="http://schemas.openxmlformats.org/officeDocument/2006/relationships/hyperlink" Target="https://www.chrono24.com/rolex/rolex-datejust-36-126234-full-set-122019-lc-100-schwarz-oyster--id39200588.htm" TargetMode="External"/><Relationship Id="rId93" Type="http://schemas.openxmlformats.org/officeDocument/2006/relationships/hyperlink" Target="https://www.chrono24.com/rolex/datejust-36-126234-silver-jubilee-warranty-2022-boxpaper--id37089229.htm" TargetMode="External"/><Relationship Id="rId98" Type="http://schemas.openxmlformats.org/officeDocument/2006/relationships/hyperlink" Target="https://www.chrono24.com/rolex/datejust-36--126234--box--papers--aubergine-dial--2020--id39136186.htm" TargetMode="External"/><Relationship Id="rId121" Type="http://schemas.openxmlformats.org/officeDocument/2006/relationships/hyperlink" Target="https://www.chrono24.com/rolex/rolex-datejust36-black-126234j--id43182951.htm" TargetMode="External"/><Relationship Id="rId142" Type="http://schemas.openxmlformats.org/officeDocument/2006/relationships/hyperlink" Target="https://www.chrono24.com/rolex/datejust-36--id36605427.htm" TargetMode="External"/><Relationship Id="rId163" Type="http://schemas.openxmlformats.org/officeDocument/2006/relationships/hyperlink" Target="https://www.chrono24.com/rolex/datejust-126234-steel-36mm-silver-index-dial-jubilee-bracelet-complete--id38925343.htm" TargetMode="External"/><Relationship Id="rId3" Type="http://schemas.openxmlformats.org/officeDocument/2006/relationships/hyperlink" Target="https://www.chrono24.com/rolex/datejust-36--id37420697.htm" TargetMode="External"/><Relationship Id="rId25" Type="http://schemas.openxmlformats.org/officeDocument/2006/relationships/hyperlink" Target="https://www.chrono24.com/rolex/rolex-datejust-36--id35854506.htm" TargetMode="External"/><Relationship Id="rId46" Type="http://schemas.openxmlformats.org/officeDocument/2006/relationships/hyperlink" Target="https://www.chrono24.com/rolex/rolex-datejust-36-quadrante-pink-in-diamanti-ore-6-e-9-del-2022-full-set-top-condition--id40413094.htm" TargetMode="External"/><Relationship Id="rId67" Type="http://schemas.openxmlformats.org/officeDocument/2006/relationships/hyperlink" Target="https://www.chrono24.com/rolex/datejust---126234---2022--id40721015.htm" TargetMode="External"/><Relationship Id="rId116" Type="http://schemas.openxmlformats.org/officeDocument/2006/relationships/hyperlink" Target="https://www.chrono24.com/rolex/126234g-year-2019--id42753103.htm" TargetMode="External"/><Relationship Id="rId137" Type="http://schemas.openxmlformats.org/officeDocument/2006/relationships/hyperlink" Target="https://www.chrono24.com/rolex/rolex-datejust-36--id43517380.htm" TargetMode="External"/><Relationship Id="rId158" Type="http://schemas.openxmlformats.org/officeDocument/2006/relationships/hyperlink" Target="https://www.chrono24.com/rolex/rolex-datejust-36--id43599841.htm" TargetMode="External"/><Relationship Id="rId20" Type="http://schemas.openxmlformats.org/officeDocument/2006/relationships/hyperlink" Target="https://www.chrono24.com/rolex/rolex-rolex-datejust-126234-oyster-perpetual-36-mm-blue-dial-jubilee-stainless-steel--id38729358.htm" TargetMode="External"/><Relationship Id="rId41" Type="http://schemas.openxmlformats.org/officeDocument/2006/relationships/hyperlink" Target="https://www.chrono24.com/rolex/rolex-datejust-36--id38358891.htm" TargetMode="External"/><Relationship Id="rId62" Type="http://schemas.openxmlformats.org/officeDocument/2006/relationships/hyperlink" Target="https://www.chrono24.com/rolex/rolex-datejust-36mm-blue-motif-dial-2022-jubilee---126234--id39701258.htm" TargetMode="External"/><Relationship Id="rId83" Type="http://schemas.openxmlformats.org/officeDocument/2006/relationships/hyperlink" Target="https://www.chrono24.com/rolex/datejust-36-mother-of-pearl-diamond-dial-18k-stainless-steel-126234---com003287--id27661507.htm" TargetMode="External"/><Relationship Id="rId88" Type="http://schemas.openxmlformats.org/officeDocument/2006/relationships/hyperlink" Target="https://www.chrono24.com/rolex/rolex-datejust-36-126234-slate-grey-green-roman-5-row-jubilee-bracelet-random-number-used-mens--id40820494.htm" TargetMode="External"/><Relationship Id="rId111" Type="http://schemas.openxmlformats.org/officeDocument/2006/relationships/hyperlink" Target="https://www.chrono24.com/rolex/datejust-36-ref-126234-herrenuhr-box-und-papiere--id39631624.htm" TargetMode="External"/><Relationship Id="rId132" Type="http://schemas.openxmlformats.org/officeDocument/2006/relationships/hyperlink" Target="https://www.chrono24.com/rolex/rolex-datejust-36mm-blue-motif-diamond-dial-2023-oyster---126234--id42810060.htm" TargetMode="External"/><Relationship Id="rId153" Type="http://schemas.openxmlformats.org/officeDocument/2006/relationships/hyperlink" Target="https://www.chrono24.com/rolex/datejust-36--id33109779.htm" TargetMode="External"/><Relationship Id="rId174" Type="http://schemas.openxmlformats.org/officeDocument/2006/relationships/hyperlink" Target="https://www.chrono24.com/rolex/--pre-owned-datejust-36-green-palm-motif-diamond-dial-oyster-bracelet-126234--id44232732.htm" TargetMode="External"/><Relationship Id="rId179" Type="http://schemas.openxmlformats.org/officeDocument/2006/relationships/hyperlink" Target="https://www.chrono24.com/rolex/rolex-datejust-36--id43930082.htm" TargetMode="External"/><Relationship Id="rId15" Type="http://schemas.openxmlformats.org/officeDocument/2006/relationships/hyperlink" Target="https://www.chrono24.com/rolex/datejust-36-anniversary-dial--id39035263.htm" TargetMode="External"/><Relationship Id="rId36" Type="http://schemas.openxmlformats.org/officeDocument/2006/relationships/hyperlink" Target="https://www.chrono24.com/rolex/papers-rolex-datejust-36-wimbledon-rhodium-gray-steel-oyster-126234-box--id38730540.htm" TargetMode="External"/><Relationship Id="rId57" Type="http://schemas.openxmlformats.org/officeDocument/2006/relationships/hyperlink" Target="https://www.chrono24.com/rolex/in-stock-2025-datejust-36-blue-index-dial-126234-oyster-bracelet--id40687642.htm" TargetMode="External"/><Relationship Id="rId106" Type="http://schemas.openxmlformats.org/officeDocument/2006/relationships/hyperlink" Target="https://www.chrono24.com/rolex/datejust-36-126234-greenpalm-jubilee-warranty-2022-boxpaper--id36911514.htm" TargetMode="External"/><Relationship Id="rId127" Type="http://schemas.openxmlformats.org/officeDocument/2006/relationships/hyperlink" Target="https://www.chrono24.com/rolex/rolex-datejust-36--id41784428.htm" TargetMode="External"/><Relationship Id="rId10" Type="http://schemas.openxmlformats.org/officeDocument/2006/relationships/hyperlink" Target="https://www.chrono24.com/rolex/datejust-36--id34119424.htm" TargetMode="External"/><Relationship Id="rId31" Type="http://schemas.openxmlformats.org/officeDocument/2006/relationships/hyperlink" Target="https://www.chrono24.com/rolex/rolex-steel-datejust-36-watch---fluted-bezel---mop-diamond-dial---jubilee-bracelet--id37727481.htm" TargetMode="External"/><Relationship Id="rId52" Type="http://schemas.openxmlformats.org/officeDocument/2006/relationships/hyperlink" Target="https://www.chrono24.com/rolex/rolex-datejust-36mm-green-dial-2022-jubilee---126234--id40285622.htm" TargetMode="External"/><Relationship Id="rId73" Type="http://schemas.openxmlformats.org/officeDocument/2006/relationships/hyperlink" Target="https://www.chrono24.com/rolex/rolex-datejust-36mm-blue-dial-2021-jubilee---126234--id40702474.htm" TargetMode="External"/><Relationship Id="rId78" Type="http://schemas.openxmlformats.org/officeDocument/2006/relationships/hyperlink" Target="https://www.chrono24.com/rolex/rolex-datejust-36--id39043415.htm" TargetMode="External"/><Relationship Id="rId94" Type="http://schemas.openxmlformats.org/officeDocument/2006/relationships/hyperlink" Target="https://www.chrono24.com/rolex/rolex-datejust-36-blue-dial-126234-full-set--id39824691.htm" TargetMode="External"/><Relationship Id="rId99" Type="http://schemas.openxmlformats.org/officeDocument/2006/relationships/hyperlink" Target="https://www.chrono24.com/rolex/datejust-36--id37735095.htm" TargetMode="External"/><Relationship Id="rId101" Type="http://schemas.openxmlformats.org/officeDocument/2006/relationships/hyperlink" Target="https://www.chrono24.com/rolex/montre-rolex-datejust-en-or-et-acier-ref-rolex---126234--vers-2007--id41028661.htm" TargetMode="External"/><Relationship Id="rId122" Type="http://schemas.openxmlformats.org/officeDocument/2006/relationships/hyperlink" Target="https://www.chrono24.com/rolex/--36-126234g--k18wgss-------id42814802.htm" TargetMode="External"/><Relationship Id="rId143" Type="http://schemas.openxmlformats.org/officeDocument/2006/relationships/hyperlink" Target="https://www.chrono24.com/rolex/datejust-36--id42737328.htm" TargetMode="External"/><Relationship Id="rId148" Type="http://schemas.openxmlformats.org/officeDocument/2006/relationships/hyperlink" Target="https://www.chrono24.com/rolex/datejust-36--id43572190.htm" TargetMode="External"/><Relationship Id="rId164" Type="http://schemas.openxmlformats.org/officeDocument/2006/relationships/hyperlink" Target="https://www.chrono24.com/rolex/datejust-36--id43023468.htm" TargetMode="External"/><Relationship Id="rId169" Type="http://schemas.openxmlformats.org/officeDocument/2006/relationships/hyperlink" Target="https://www.chrono24.com/rolex/rolex-datejust-36--id43740334.htm?searchHash=ec5e30e5_8KUQUL&amp;pos=1" TargetMode="External"/><Relationship Id="rId4" Type="http://schemas.openxmlformats.org/officeDocument/2006/relationships/hyperlink" Target="https://www.chrono24.com/rolex/rolex-oyster-perpetual-datejust-black-diamond-126234-2020-full-set--id35582748.htm" TargetMode="External"/><Relationship Id="rId9" Type="http://schemas.openxmlformats.org/officeDocument/2006/relationships/hyperlink" Target="https://www.chrono24.com/rolex/rolex-datejust-36mm-silver-diamonds-vi-ix-dial-ref-126234---jubilee-bracelet---full-set--id33556529.htm" TargetMode="External"/><Relationship Id="rId180" Type="http://schemas.openxmlformats.org/officeDocument/2006/relationships/hyperlink" Target="https://www.chrono24.com/rolex/rolex-datejust-36--id44563065.htm" TargetMode="External"/><Relationship Id="rId26" Type="http://schemas.openxmlformats.org/officeDocument/2006/relationships/hyperlink" Target="https://www.chrono24.com/rolex/rolex-datejust-36-126234-silver-dial-18k-white-gold-bezel--stainless-jubilee--bracelet-mint--id38837898.htm" TargetMode="External"/><Relationship Id="rId47" Type="http://schemas.openxmlformats.org/officeDocument/2006/relationships/hyperlink" Target="https://www.chrono24.com/rolex/rolex-datejust-36mm-ss---wg-fluted-bezel---blue-fluted-dial---jubilee-bracelet-126234--id39350484.htm" TargetMode="External"/><Relationship Id="rId68" Type="http://schemas.openxmlformats.org/officeDocument/2006/relationships/hyperlink" Target="https://www.chrono24.com/rolex/datejust-126234-0013-2023-box-and-papers--id40190682.htm" TargetMode="External"/><Relationship Id="rId89" Type="http://schemas.openxmlformats.org/officeDocument/2006/relationships/hyperlink" Target="https://www.chrono24.com/rolex/datejust-36--id39714703.htm" TargetMode="External"/><Relationship Id="rId112" Type="http://schemas.openxmlformats.org/officeDocument/2006/relationships/hyperlink" Target="https://www.chrono24.com/rolex/rolex-datejust-36-126234-warranty-2022-boxpaper--id42679834.htm" TargetMode="External"/><Relationship Id="rId133" Type="http://schemas.openxmlformats.org/officeDocument/2006/relationships/hyperlink" Target="https://www.chrono24.com/rolex/--126234-ssxwg----id43020653.htm" TargetMode="External"/><Relationship Id="rId154" Type="http://schemas.openxmlformats.org/officeDocument/2006/relationships/hyperlink" Target="https://www.chrono24.com/rolex/rolex-datejust-36--id26067925.htm" TargetMode="External"/><Relationship Id="rId175" Type="http://schemas.openxmlformats.org/officeDocument/2006/relationships/hyperlink" Target="https://www.chrono24.com/rolex/datejust-36--id43623624.htm" TargetMode="External"/><Relationship Id="rId16" Type="http://schemas.openxmlformats.org/officeDocument/2006/relationships/hyperlink" Target="https://www.chrono24.com/rolex/datejust-126234-aubergine-purple-diamond-roman-steel-box-paper-36mm--id40088414.htm" TargetMode="External"/><Relationship Id="rId37" Type="http://schemas.openxmlformats.org/officeDocument/2006/relationships/hyperlink" Target="https://www.chrono24.com/rolex/rolex-datejust-36-stainless-steel-blue-dial-126234--id38491912.htm" TargetMode="External"/><Relationship Id="rId58" Type="http://schemas.openxmlformats.org/officeDocument/2006/relationships/hyperlink" Target="https://www.chrono24.com/rolex/rolex-datejust-36-quadrante-in-diamanti-nero-del-2021-jubilee-full-set-excellent-condition--id38157399.htm" TargetMode="External"/><Relationship Id="rId79" Type="http://schemas.openxmlformats.org/officeDocument/2006/relationships/hyperlink" Target="https://www.chrono24.com/rolex/oyster-perpetual-datejust-36-ref-126234-lc100--id40083341.htm" TargetMode="External"/><Relationship Id="rId102" Type="http://schemas.openxmlformats.org/officeDocument/2006/relationships/hyperlink" Target="https://www.chrono24.com/rolex/datejust-36--id41348970.htm" TargetMode="External"/><Relationship Id="rId123" Type="http://schemas.openxmlformats.org/officeDocument/2006/relationships/hyperlink" Target="https://www.chrono24.com/rolex/rolex-datejust-36-palm-dial-jubilee-steelwhite-gold-18k--id42537395.htm" TargetMode="External"/><Relationship Id="rId144" Type="http://schemas.openxmlformats.org/officeDocument/2006/relationships/hyperlink" Target="https://www.chrono24.com/rolex/rolex-datejust-36--id43656933.htm" TargetMode="External"/><Relationship Id="rId90" Type="http://schemas.openxmlformats.org/officeDocument/2006/relationships/hyperlink" Target="https://www.chrono24.com/rolex/rolex-datejust-36mm-blue-diamonds-ref-126234---jubilee-bracelet---full-set--id38651994.htm" TargetMode="External"/><Relationship Id="rId165" Type="http://schemas.openxmlformats.org/officeDocument/2006/relationships/hyperlink" Target="https://www.chrono24.com/rolex/datejust-36mm-126234-mint-green-dial-fluted-jubilee-2022--id44285109.htm" TargetMode="External"/><Relationship Id="rId27" Type="http://schemas.openxmlformats.org/officeDocument/2006/relationships/hyperlink" Target="https://www.chrono24.com/rolex/datejust-36--id37420799.htm" TargetMode="External"/><Relationship Id="rId48" Type="http://schemas.openxmlformats.org/officeDocument/2006/relationships/hyperlink" Target="https://www.chrono24.com/rolex/rolex-datejust-36-126234-papiere-122019-jubilee-schwarz--id39196177.htm" TargetMode="External"/><Relationship Id="rId69" Type="http://schemas.openxmlformats.org/officeDocument/2006/relationships/hyperlink" Target="https://www.chrono24.com/rolex/datejust-36-blue-dial-jubile-very-good-condition-full-set-2020--id39246129.htm" TargetMode="External"/><Relationship Id="rId113" Type="http://schemas.openxmlformats.org/officeDocument/2006/relationships/hyperlink" Target="https://www.chrono24.com/rolex/rolex-datejust-36-silver-index-dial-stainless-steel-fluted-bezel-oyster-bracelet--id43145323.htm" TargetMode="External"/><Relationship Id="rId134" Type="http://schemas.openxmlformats.org/officeDocument/2006/relationships/hyperlink" Target="https://www.chrono24.com/rolex/125653-rolex----36-126234---wgss-----id42951241.htm" TargetMode="External"/><Relationship Id="rId80" Type="http://schemas.openxmlformats.org/officeDocument/2006/relationships/hyperlink" Target="https://www.chrono24.com/rolex/rolex-datejust-36-jubilee-silver-full-set--id32417055.htm" TargetMode="External"/><Relationship Id="rId155" Type="http://schemas.openxmlformats.org/officeDocument/2006/relationships/hyperlink" Target="https://www.chrono24.com/rolex/datejust-36--id24918720.htm" TargetMode="External"/><Relationship Id="rId176" Type="http://schemas.openxmlformats.org/officeDocument/2006/relationships/hyperlink" Target="https://www.chrono24.com/rolex/datejust-36--id43100570.htm" TargetMode="External"/><Relationship Id="rId17" Type="http://schemas.openxmlformats.org/officeDocument/2006/relationships/hyperlink" Target="https://www.chrono24.com/rolex/datejust-stainless-steel--18k-white-gold--diamonds-ladys-watch--id39938724.htm" TargetMode="External"/><Relationship Id="rId38" Type="http://schemas.openxmlformats.org/officeDocument/2006/relationships/hyperlink" Target="https://www.chrono24.com/rolex/rolex-datejust-36-wimbeldon-oyster-126234-papiere-11-2023--id40532543.htm" TargetMode="External"/><Relationship Id="rId59" Type="http://schemas.openxmlformats.org/officeDocument/2006/relationships/hyperlink" Target="https://www.chrono24.com/rolex/-36-126234--id40773162.htm" TargetMode="External"/><Relationship Id="rId103" Type="http://schemas.openxmlformats.org/officeDocument/2006/relationships/hyperlink" Target="https://www.chrono24.com/rolex/datejust-36--id42834059.htm" TargetMode="External"/><Relationship Id="rId124" Type="http://schemas.openxmlformats.org/officeDocument/2006/relationships/hyperlink" Target="https://www.chrono24.com/rolex/-36datejust-36--id43199296.htm" TargetMode="External"/><Relationship Id="rId70" Type="http://schemas.openxmlformats.org/officeDocument/2006/relationships/hyperlink" Target="https://www.chrono24.com/rolex/datejust-36--id39671647.htm" TargetMode="External"/><Relationship Id="rId91" Type="http://schemas.openxmlformats.org/officeDocument/2006/relationships/hyperlink" Target="https://www.chrono24.com/rolex/rolex-datejust-36--126234--steel--palm-dial--2022--id39156086.htm" TargetMode="External"/><Relationship Id="rId145" Type="http://schemas.openxmlformats.org/officeDocument/2006/relationships/hyperlink" Target="https://www.chrono24.com/rolex/rolex-datejust-36--id40355332.htm" TargetMode="External"/><Relationship Id="rId166" Type="http://schemas.openxmlformats.org/officeDocument/2006/relationships/hyperlink" Target="https://www.chrono24.com/rolex/datejust-36--id43788967.htm" TargetMode="External"/><Relationship Id="rId1" Type="http://schemas.openxmlformats.org/officeDocument/2006/relationships/hyperlink" Target="https://www.chrono24.com/rolex/datejust-36-fluted-oyster-olive-green-palm-motif-dial--id39342001.htm" TargetMode="External"/><Relationship Id="rId28" Type="http://schemas.openxmlformats.org/officeDocument/2006/relationships/hyperlink" Target="https://www.chrono24.com/rolex/2021-rolex-datejust-126234-black-dial-36mm-w-rolex-warranty-card--id37766380.htm" TargetMode="External"/><Relationship Id="rId49" Type="http://schemas.openxmlformats.org/officeDocument/2006/relationships/hyperlink" Target="https://www.chrono24.com/rolex/rolex-datejust-36-stainless-oyster-black-index--id40616331.htm" TargetMode="External"/><Relationship Id="rId114" Type="http://schemas.openxmlformats.org/officeDocument/2006/relationships/hyperlink" Target="https://www.chrono24.com/rolex/datejust-36mm-stainless-steel-18k-white-gold-slate-dial--id4302046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4D21-647C-4290-BC65-7E69B2531001}">
  <dimension ref="A1:P201"/>
  <sheetViews>
    <sheetView tabSelected="1" zoomScale="101" workbookViewId="0">
      <pane ySplit="1" topLeftCell="A2" activePane="bottomLeft" state="frozen"/>
      <selection activeCell="B1" sqref="B1"/>
      <selection pane="bottomLeft" activeCell="G2" sqref="G2"/>
    </sheetView>
  </sheetViews>
  <sheetFormatPr defaultRowHeight="14.4" x14ac:dyDescent="0.3"/>
  <cols>
    <col min="3" max="3" width="10.88671875" customWidth="1"/>
    <col min="4" max="4" width="23.33203125" style="1" customWidth="1"/>
    <col min="5" max="5" width="16" customWidth="1"/>
    <col min="6" max="6" width="9.77734375" customWidth="1"/>
    <col min="7" max="7" width="21.109375" customWidth="1"/>
    <col min="8" max="8" width="17.21875" customWidth="1"/>
    <col min="9" max="9" width="26.5546875" customWidth="1"/>
    <col min="10" max="10" width="14" customWidth="1"/>
    <col min="11" max="11" width="12.44140625" customWidth="1"/>
    <col min="12" max="13" width="24.109375" customWidth="1"/>
    <col min="14" max="14" width="45.5546875" customWidth="1"/>
    <col min="15" max="15" width="55.44140625" customWidth="1"/>
    <col min="16" max="16" width="23.21875" style="2" customWidth="1"/>
  </cols>
  <sheetData>
    <row r="1" spans="1:16" s="3" customFormat="1" ht="25.8" customHeight="1" x14ac:dyDescent="0.3">
      <c r="A1" s="3" t="s">
        <v>3</v>
      </c>
      <c r="B1" s="3" t="s">
        <v>0</v>
      </c>
      <c r="C1" s="3" t="s">
        <v>1</v>
      </c>
      <c r="D1" s="7" t="s">
        <v>8</v>
      </c>
      <c r="E1" s="3" t="s">
        <v>7</v>
      </c>
      <c r="F1" s="3" t="s">
        <v>40</v>
      </c>
      <c r="G1" s="3" t="s">
        <v>356</v>
      </c>
      <c r="H1" s="3" t="s">
        <v>6</v>
      </c>
      <c r="I1" s="3" t="s">
        <v>10</v>
      </c>
      <c r="J1" s="3" t="s">
        <v>357</v>
      </c>
      <c r="K1" s="3" t="s">
        <v>2</v>
      </c>
      <c r="L1" s="3" t="s">
        <v>203</v>
      </c>
      <c r="M1" s="3" t="s">
        <v>204</v>
      </c>
      <c r="N1" s="3" t="s">
        <v>205</v>
      </c>
      <c r="O1" s="3" t="s">
        <v>206</v>
      </c>
      <c r="P1" s="3" t="s">
        <v>42</v>
      </c>
    </row>
    <row r="2" spans="1:16" ht="57.6" x14ac:dyDescent="0.3">
      <c r="A2">
        <v>1</v>
      </c>
      <c r="B2" t="s">
        <v>4</v>
      </c>
      <c r="C2" t="s">
        <v>5</v>
      </c>
      <c r="D2" s="1" t="s">
        <v>19</v>
      </c>
      <c r="E2">
        <v>126234</v>
      </c>
      <c r="F2" s="4">
        <v>13977</v>
      </c>
      <c r="G2">
        <v>2</v>
      </c>
      <c r="H2">
        <v>0</v>
      </c>
      <c r="I2">
        <v>0</v>
      </c>
      <c r="J2">
        <v>1</v>
      </c>
      <c r="K2">
        <v>4.4000000000000004</v>
      </c>
      <c r="L2" s="15">
        <f t="shared" ref="L2:L7" si="0">LN(F2)</f>
        <v>9.545168400484906</v>
      </c>
      <c r="M2" s="15">
        <f t="shared" ref="M2:M7" si="1">LN(K2 + 1)</f>
        <v>1.6863989535702288</v>
      </c>
      <c r="N2" s="15">
        <f t="shared" ref="N2:N7" si="2">LN(H2 +1)</f>
        <v>0</v>
      </c>
      <c r="O2" s="15">
        <f t="shared" ref="O2:O7" si="3">LN(I2 + 1)</f>
        <v>0</v>
      </c>
      <c r="P2" s="5" t="s">
        <v>72</v>
      </c>
    </row>
    <row r="3" spans="1:16" ht="72" x14ac:dyDescent="0.3">
      <c r="A3">
        <v>2</v>
      </c>
      <c r="B3" t="s">
        <v>4</v>
      </c>
      <c r="C3" t="s">
        <v>5</v>
      </c>
      <c r="D3" s="1" t="s">
        <v>17</v>
      </c>
      <c r="E3">
        <v>126234</v>
      </c>
      <c r="F3" s="4">
        <v>19522</v>
      </c>
      <c r="G3">
        <v>2</v>
      </c>
      <c r="H3">
        <v>1</v>
      </c>
      <c r="I3">
        <v>12</v>
      </c>
      <c r="J3">
        <v>1</v>
      </c>
      <c r="K3">
        <v>4.5999999999999996</v>
      </c>
      <c r="L3" s="15">
        <f t="shared" si="0"/>
        <v>9.8792973137349112</v>
      </c>
      <c r="M3" s="15">
        <f t="shared" si="1"/>
        <v>1.7227665977411035</v>
      </c>
      <c r="N3" s="15">
        <f t="shared" si="2"/>
        <v>0.69314718055994529</v>
      </c>
      <c r="O3" s="15">
        <f t="shared" si="3"/>
        <v>2.5649493574615367</v>
      </c>
      <c r="P3" s="5" t="s">
        <v>106</v>
      </c>
    </row>
    <row r="4" spans="1:16" ht="72" x14ac:dyDescent="0.3">
      <c r="A4">
        <v>3</v>
      </c>
      <c r="B4" t="s">
        <v>4</v>
      </c>
      <c r="C4" t="s">
        <v>5</v>
      </c>
      <c r="D4" s="1" t="s">
        <v>21</v>
      </c>
      <c r="E4">
        <v>126234</v>
      </c>
      <c r="F4" s="4">
        <v>18272</v>
      </c>
      <c r="G4">
        <v>2</v>
      </c>
      <c r="H4">
        <v>1</v>
      </c>
      <c r="I4">
        <v>12</v>
      </c>
      <c r="J4">
        <v>1</v>
      </c>
      <c r="K4">
        <v>4.5999999999999996</v>
      </c>
      <c r="L4" s="15">
        <f t="shared" si="0"/>
        <v>9.8131251124557366</v>
      </c>
      <c r="M4" s="15">
        <f t="shared" si="1"/>
        <v>1.7227665977411035</v>
      </c>
      <c r="N4" s="15">
        <f t="shared" si="2"/>
        <v>0.69314718055994529</v>
      </c>
      <c r="O4" s="15">
        <f t="shared" si="3"/>
        <v>2.5649493574615367</v>
      </c>
      <c r="P4" s="5" t="s">
        <v>71</v>
      </c>
    </row>
    <row r="5" spans="1:16" ht="72" x14ac:dyDescent="0.3">
      <c r="A5">
        <v>4</v>
      </c>
      <c r="B5" t="s">
        <v>4</v>
      </c>
      <c r="C5" t="s">
        <v>5</v>
      </c>
      <c r="D5" s="1" t="s">
        <v>22</v>
      </c>
      <c r="E5">
        <v>126234</v>
      </c>
      <c r="F5" s="4">
        <v>14993</v>
      </c>
      <c r="G5">
        <v>2</v>
      </c>
      <c r="H5">
        <v>1</v>
      </c>
      <c r="I5">
        <v>24</v>
      </c>
      <c r="J5">
        <v>1</v>
      </c>
      <c r="K5">
        <v>4.7</v>
      </c>
      <c r="L5" s="15">
        <f t="shared" si="0"/>
        <v>9.6153387044949028</v>
      </c>
      <c r="M5" s="15">
        <f t="shared" si="1"/>
        <v>1.7404661748405046</v>
      </c>
      <c r="N5" s="15">
        <f t="shared" si="2"/>
        <v>0.69314718055994529</v>
      </c>
      <c r="O5" s="15">
        <f t="shared" si="3"/>
        <v>3.2188758248682006</v>
      </c>
      <c r="P5" s="5" t="s">
        <v>76</v>
      </c>
    </row>
    <row r="6" spans="1:16" ht="86.4" x14ac:dyDescent="0.3">
      <c r="A6">
        <v>5</v>
      </c>
      <c r="B6" t="s">
        <v>4</v>
      </c>
      <c r="C6" t="s">
        <v>5</v>
      </c>
      <c r="D6" s="1" t="s">
        <v>32</v>
      </c>
      <c r="E6">
        <v>126234</v>
      </c>
      <c r="F6" s="4">
        <v>15946</v>
      </c>
      <c r="G6">
        <v>2</v>
      </c>
      <c r="H6">
        <v>1</v>
      </c>
      <c r="I6">
        <v>12</v>
      </c>
      <c r="J6">
        <v>1</v>
      </c>
      <c r="K6">
        <v>4.9000000000000004</v>
      </c>
      <c r="L6" s="15">
        <f t="shared" si="0"/>
        <v>9.6769632930624407</v>
      </c>
      <c r="M6" s="15">
        <f t="shared" si="1"/>
        <v>1.7749523509116738</v>
      </c>
      <c r="N6" s="15">
        <f t="shared" si="2"/>
        <v>0.69314718055994529</v>
      </c>
      <c r="O6" s="15">
        <f t="shared" si="3"/>
        <v>2.5649493574615367</v>
      </c>
      <c r="P6" s="5" t="s">
        <v>75</v>
      </c>
    </row>
    <row r="7" spans="1:16" ht="43.8" customHeight="1" x14ac:dyDescent="0.3">
      <c r="A7">
        <v>6</v>
      </c>
      <c r="B7" t="s">
        <v>4</v>
      </c>
      <c r="C7" t="s">
        <v>5</v>
      </c>
      <c r="D7" s="1" t="s">
        <v>9</v>
      </c>
      <c r="E7">
        <v>126234</v>
      </c>
      <c r="F7" s="4">
        <v>13148</v>
      </c>
      <c r="G7">
        <v>2</v>
      </c>
      <c r="H7">
        <v>0</v>
      </c>
      <c r="I7">
        <v>0</v>
      </c>
      <c r="J7">
        <v>1</v>
      </c>
      <c r="K7">
        <v>4.5999999999999996</v>
      </c>
      <c r="L7" s="15">
        <f t="shared" si="0"/>
        <v>9.4840249347841095</v>
      </c>
      <c r="M7" s="15">
        <f t="shared" si="1"/>
        <v>1.7227665977411035</v>
      </c>
      <c r="N7" s="15">
        <f t="shared" si="2"/>
        <v>0</v>
      </c>
      <c r="O7" s="15">
        <f t="shared" si="3"/>
        <v>0</v>
      </c>
      <c r="P7" s="5" t="s">
        <v>82</v>
      </c>
    </row>
    <row r="8" spans="1:16" ht="93.6" customHeight="1" x14ac:dyDescent="0.3">
      <c r="A8">
        <v>7</v>
      </c>
      <c r="B8" t="s">
        <v>4</v>
      </c>
      <c r="C8" t="s">
        <v>5</v>
      </c>
      <c r="D8" s="1" t="s">
        <v>11</v>
      </c>
      <c r="E8">
        <v>126234</v>
      </c>
      <c r="F8" s="4">
        <v>9838</v>
      </c>
      <c r="G8">
        <v>2</v>
      </c>
      <c r="H8">
        <v>1</v>
      </c>
      <c r="I8">
        <v>12</v>
      </c>
      <c r="J8">
        <v>1</v>
      </c>
      <c r="K8">
        <v>4.9000000000000004</v>
      </c>
      <c r="L8" s="15">
        <f t="shared" ref="L8:L66" si="4">LN(F8)</f>
        <v>9.1940077173552854</v>
      </c>
      <c r="M8" s="15">
        <f t="shared" ref="M8:M66" si="5">LN(K8 + 1)</f>
        <v>1.7749523509116738</v>
      </c>
      <c r="N8" s="15">
        <f t="shared" ref="N8:N66" si="6">LN(H8 +1)</f>
        <v>0.69314718055994529</v>
      </c>
      <c r="O8" s="15">
        <f t="shared" ref="O8:O66" si="7">LN(I8 + 1)</f>
        <v>2.5649493574615367</v>
      </c>
    </row>
    <row r="9" spans="1:16" ht="40.200000000000003" customHeight="1" x14ac:dyDescent="0.3">
      <c r="A9">
        <v>8</v>
      </c>
      <c r="B9" t="s">
        <v>4</v>
      </c>
      <c r="C9" t="s">
        <v>5</v>
      </c>
      <c r="D9" s="8" t="s">
        <v>12</v>
      </c>
      <c r="E9">
        <v>126234</v>
      </c>
      <c r="F9" s="4">
        <v>13031</v>
      </c>
      <c r="G9">
        <v>2</v>
      </c>
      <c r="H9">
        <v>1</v>
      </c>
      <c r="I9">
        <v>12</v>
      </c>
      <c r="J9">
        <v>1</v>
      </c>
      <c r="K9">
        <v>4.8</v>
      </c>
      <c r="L9" s="15">
        <f t="shared" si="4"/>
        <v>9.475086413144906</v>
      </c>
      <c r="M9" s="15">
        <f t="shared" si="5"/>
        <v>1.7578579175523736</v>
      </c>
      <c r="N9" s="15">
        <f t="shared" si="6"/>
        <v>0.69314718055994529</v>
      </c>
      <c r="O9" s="15">
        <f t="shared" si="7"/>
        <v>2.5649493574615367</v>
      </c>
    </row>
    <row r="10" spans="1:16" ht="28.8" x14ac:dyDescent="0.3">
      <c r="A10">
        <v>9</v>
      </c>
      <c r="B10" t="s">
        <v>4</v>
      </c>
      <c r="C10" t="s">
        <v>5</v>
      </c>
      <c r="D10" s="1" t="s">
        <v>13</v>
      </c>
      <c r="E10">
        <v>126234</v>
      </c>
      <c r="F10" s="4">
        <v>14935</v>
      </c>
      <c r="G10">
        <v>2</v>
      </c>
      <c r="H10">
        <v>0</v>
      </c>
      <c r="I10">
        <v>0</v>
      </c>
      <c r="J10">
        <v>1</v>
      </c>
      <c r="K10">
        <v>4.8</v>
      </c>
      <c r="L10" s="15">
        <f t="shared" si="4"/>
        <v>9.6114627306502101</v>
      </c>
      <c r="M10" s="15">
        <f t="shared" si="5"/>
        <v>1.7578579175523736</v>
      </c>
      <c r="N10" s="15">
        <f t="shared" si="6"/>
        <v>0</v>
      </c>
      <c r="O10" s="15">
        <f t="shared" si="7"/>
        <v>0</v>
      </c>
    </row>
    <row r="11" spans="1:16" ht="43.2" x14ac:dyDescent="0.3">
      <c r="A11">
        <v>10</v>
      </c>
      <c r="B11" t="s">
        <v>4</v>
      </c>
      <c r="C11" t="s">
        <v>5</v>
      </c>
      <c r="D11" s="1" t="s">
        <v>14</v>
      </c>
      <c r="E11">
        <v>126234</v>
      </c>
      <c r="F11" s="4">
        <v>16540</v>
      </c>
      <c r="G11">
        <v>2</v>
      </c>
      <c r="H11">
        <v>0</v>
      </c>
      <c r="I11">
        <v>0</v>
      </c>
      <c r="J11">
        <v>1</v>
      </c>
      <c r="K11">
        <v>4.5</v>
      </c>
      <c r="L11" s="15">
        <f t="shared" si="4"/>
        <v>9.7135369685776816</v>
      </c>
      <c r="M11" s="15">
        <f t="shared" si="5"/>
        <v>1.7047480922384253</v>
      </c>
      <c r="N11" s="15">
        <f t="shared" si="6"/>
        <v>0</v>
      </c>
      <c r="O11" s="15">
        <f t="shared" si="7"/>
        <v>0</v>
      </c>
    </row>
    <row r="12" spans="1:16" ht="86.4" x14ac:dyDescent="0.3">
      <c r="A12">
        <v>11</v>
      </c>
      <c r="B12" t="s">
        <v>4</v>
      </c>
      <c r="C12" t="s">
        <v>5</v>
      </c>
      <c r="D12" s="1" t="s">
        <v>15</v>
      </c>
      <c r="E12">
        <v>126234</v>
      </c>
      <c r="F12" s="4">
        <v>15737</v>
      </c>
      <c r="G12">
        <v>2</v>
      </c>
      <c r="H12">
        <v>0</v>
      </c>
      <c r="I12">
        <v>0</v>
      </c>
      <c r="J12">
        <v>1</v>
      </c>
      <c r="K12">
        <v>4.2</v>
      </c>
      <c r="L12" s="15">
        <f t="shared" si="4"/>
        <v>9.663769906600864</v>
      </c>
      <c r="M12" s="15">
        <f t="shared" si="5"/>
        <v>1.6486586255873816</v>
      </c>
      <c r="N12" s="15">
        <f t="shared" si="6"/>
        <v>0</v>
      </c>
      <c r="O12" s="15">
        <f t="shared" si="7"/>
        <v>0</v>
      </c>
      <c r="P12" s="5" t="s">
        <v>74</v>
      </c>
    </row>
    <row r="13" spans="1:16" ht="72" x14ac:dyDescent="0.3">
      <c r="A13">
        <v>12</v>
      </c>
      <c r="B13" t="s">
        <v>4</v>
      </c>
      <c r="C13" t="s">
        <v>5</v>
      </c>
      <c r="D13" s="1" t="s">
        <v>16</v>
      </c>
      <c r="E13">
        <v>126234</v>
      </c>
      <c r="F13" s="4">
        <v>16772</v>
      </c>
      <c r="G13">
        <v>2</v>
      </c>
      <c r="H13">
        <v>1</v>
      </c>
      <c r="I13">
        <v>12</v>
      </c>
      <c r="J13">
        <v>1</v>
      </c>
      <c r="K13">
        <v>4.9000000000000004</v>
      </c>
      <c r="L13" s="15">
        <f t="shared" si="4"/>
        <v>9.7274661082906526</v>
      </c>
      <c r="M13" s="15">
        <f t="shared" si="5"/>
        <v>1.7749523509116738</v>
      </c>
      <c r="N13" s="15">
        <f t="shared" si="6"/>
        <v>0.69314718055994529</v>
      </c>
      <c r="O13" s="15">
        <f t="shared" si="7"/>
        <v>2.5649493574615367</v>
      </c>
      <c r="P13" s="5" t="s">
        <v>70</v>
      </c>
    </row>
    <row r="14" spans="1:16" ht="43.2" x14ac:dyDescent="0.3">
      <c r="A14">
        <v>13</v>
      </c>
      <c r="B14" t="s">
        <v>4</v>
      </c>
      <c r="C14" t="s">
        <v>5</v>
      </c>
      <c r="D14" s="1" t="s">
        <v>18</v>
      </c>
      <c r="E14">
        <v>126234</v>
      </c>
      <c r="F14" s="4">
        <v>14851</v>
      </c>
      <c r="G14">
        <v>2</v>
      </c>
      <c r="H14">
        <v>1</v>
      </c>
      <c r="I14">
        <v>18</v>
      </c>
      <c r="J14">
        <v>1</v>
      </c>
      <c r="K14">
        <v>4.8</v>
      </c>
      <c r="L14" s="15">
        <f t="shared" si="4"/>
        <v>9.6058224820309448</v>
      </c>
      <c r="M14" s="15">
        <f t="shared" si="5"/>
        <v>1.7578579175523736</v>
      </c>
      <c r="N14" s="15">
        <f t="shared" si="6"/>
        <v>0.69314718055994529</v>
      </c>
      <c r="O14" s="15">
        <f t="shared" si="7"/>
        <v>2.9444389791664403</v>
      </c>
    </row>
    <row r="15" spans="1:16" ht="72" x14ac:dyDescent="0.3">
      <c r="A15">
        <v>14</v>
      </c>
      <c r="B15" t="s">
        <v>4</v>
      </c>
      <c r="C15" t="s">
        <v>5</v>
      </c>
      <c r="D15" s="1" t="s">
        <v>20</v>
      </c>
      <c r="E15">
        <v>126234</v>
      </c>
      <c r="F15" s="4">
        <v>14256</v>
      </c>
      <c r="G15">
        <v>1</v>
      </c>
      <c r="H15">
        <v>1</v>
      </c>
      <c r="I15">
        <v>12</v>
      </c>
      <c r="J15">
        <v>1</v>
      </c>
      <c r="K15">
        <v>4.7</v>
      </c>
      <c r="L15" s="15">
        <f t="shared" si="4"/>
        <v>9.5649331497105905</v>
      </c>
      <c r="M15" s="15">
        <f t="shared" si="5"/>
        <v>1.7404661748405046</v>
      </c>
      <c r="N15" s="15">
        <f t="shared" si="6"/>
        <v>0.69314718055994529</v>
      </c>
      <c r="O15" s="15">
        <f t="shared" si="7"/>
        <v>2.5649493574615367</v>
      </c>
      <c r="P15" s="5" t="s">
        <v>107</v>
      </c>
    </row>
    <row r="16" spans="1:16" ht="43.2" x14ac:dyDescent="0.3">
      <c r="A16">
        <v>15</v>
      </c>
      <c r="B16" t="s">
        <v>4</v>
      </c>
      <c r="C16" t="s">
        <v>5</v>
      </c>
      <c r="D16" s="1" t="s">
        <v>23</v>
      </c>
      <c r="E16">
        <v>126234</v>
      </c>
      <c r="F16" s="4">
        <v>10816</v>
      </c>
      <c r="G16">
        <v>2</v>
      </c>
      <c r="H16">
        <v>0</v>
      </c>
      <c r="I16">
        <v>0</v>
      </c>
      <c r="J16">
        <v>1</v>
      </c>
      <c r="K16">
        <v>4.8</v>
      </c>
      <c r="L16" s="15">
        <f t="shared" si="4"/>
        <v>9.288781798282745</v>
      </c>
      <c r="M16" s="15">
        <f t="shared" si="5"/>
        <v>1.7578579175523736</v>
      </c>
      <c r="N16" s="15">
        <f t="shared" si="6"/>
        <v>0</v>
      </c>
      <c r="O16" s="15">
        <f t="shared" si="7"/>
        <v>0</v>
      </c>
    </row>
    <row r="17" spans="1:16" ht="43.2" x14ac:dyDescent="0.3">
      <c r="A17">
        <v>16</v>
      </c>
      <c r="B17" t="s">
        <v>4</v>
      </c>
      <c r="C17" t="s">
        <v>5</v>
      </c>
      <c r="D17" s="1" t="s">
        <v>24</v>
      </c>
      <c r="E17">
        <v>126234</v>
      </c>
      <c r="F17" s="4">
        <v>13328</v>
      </c>
      <c r="G17">
        <v>2</v>
      </c>
      <c r="H17">
        <v>1</v>
      </c>
      <c r="I17">
        <v>18</v>
      </c>
      <c r="J17">
        <v>1</v>
      </c>
      <c r="K17">
        <v>4.8</v>
      </c>
      <c r="L17" s="15">
        <f t="shared" si="4"/>
        <v>9.4976223644066238</v>
      </c>
      <c r="M17" s="15">
        <f t="shared" si="5"/>
        <v>1.7578579175523736</v>
      </c>
      <c r="N17" s="15">
        <f t="shared" si="6"/>
        <v>0.69314718055994529</v>
      </c>
      <c r="O17" s="15">
        <f t="shared" si="7"/>
        <v>2.9444389791664403</v>
      </c>
    </row>
    <row r="18" spans="1:16" ht="43.2" x14ac:dyDescent="0.3">
      <c r="A18">
        <v>17</v>
      </c>
      <c r="B18" t="s">
        <v>4</v>
      </c>
      <c r="C18" t="s">
        <v>5</v>
      </c>
      <c r="D18" s="1" t="s">
        <v>25</v>
      </c>
      <c r="E18">
        <v>126234</v>
      </c>
      <c r="F18" s="4">
        <v>12607</v>
      </c>
      <c r="G18">
        <v>2</v>
      </c>
      <c r="H18">
        <v>1</v>
      </c>
      <c r="I18">
        <v>12</v>
      </c>
      <c r="J18">
        <v>1</v>
      </c>
      <c r="K18">
        <v>4.9000000000000004</v>
      </c>
      <c r="L18" s="15">
        <f t="shared" si="4"/>
        <v>9.4420074942312695</v>
      </c>
      <c r="M18" s="15">
        <f t="shared" si="5"/>
        <v>1.7749523509116738</v>
      </c>
      <c r="N18" s="15">
        <f t="shared" si="6"/>
        <v>0.69314718055994529</v>
      </c>
      <c r="O18" s="15">
        <f t="shared" si="7"/>
        <v>2.5649493574615367</v>
      </c>
    </row>
    <row r="19" spans="1:16" ht="28.8" x14ac:dyDescent="0.3">
      <c r="A19">
        <v>18</v>
      </c>
      <c r="B19" t="s">
        <v>4</v>
      </c>
      <c r="C19" t="s">
        <v>5</v>
      </c>
      <c r="D19" s="1" t="s">
        <v>26</v>
      </c>
      <c r="E19">
        <v>126234</v>
      </c>
      <c r="F19" s="4">
        <v>17648</v>
      </c>
      <c r="G19">
        <v>2</v>
      </c>
      <c r="H19">
        <v>1</v>
      </c>
      <c r="I19">
        <v>12</v>
      </c>
      <c r="J19">
        <v>1</v>
      </c>
      <c r="K19">
        <v>4.5999999999999996</v>
      </c>
      <c r="L19" s="15">
        <f t="shared" si="4"/>
        <v>9.7783777414932835</v>
      </c>
      <c r="M19" s="15">
        <f t="shared" si="5"/>
        <v>1.7227665977411035</v>
      </c>
      <c r="N19" s="15">
        <f t="shared" si="6"/>
        <v>0.69314718055994529</v>
      </c>
      <c r="O19" s="15">
        <f t="shared" si="7"/>
        <v>2.5649493574615367</v>
      </c>
    </row>
    <row r="20" spans="1:16" x14ac:dyDescent="0.3">
      <c r="A20">
        <v>19</v>
      </c>
      <c r="B20" t="s">
        <v>4</v>
      </c>
      <c r="C20" t="s">
        <v>5</v>
      </c>
      <c r="D20" s="1" t="s">
        <v>27</v>
      </c>
      <c r="E20">
        <v>126234</v>
      </c>
      <c r="F20" s="4">
        <v>12642</v>
      </c>
      <c r="G20">
        <v>2</v>
      </c>
      <c r="H20">
        <v>1</v>
      </c>
      <c r="I20">
        <v>12</v>
      </c>
      <c r="J20">
        <v>1</v>
      </c>
      <c r="K20">
        <v>5</v>
      </c>
      <c r="L20" s="15">
        <f t="shared" si="4"/>
        <v>9.4447798830322434</v>
      </c>
      <c r="M20" s="15">
        <f t="shared" si="5"/>
        <v>1.791759469228055</v>
      </c>
      <c r="N20" s="15">
        <f t="shared" si="6"/>
        <v>0.69314718055994529</v>
      </c>
      <c r="O20" s="15">
        <f t="shared" si="7"/>
        <v>2.5649493574615367</v>
      </c>
    </row>
    <row r="21" spans="1:16" x14ac:dyDescent="0.3">
      <c r="A21">
        <v>20</v>
      </c>
      <c r="B21" t="s">
        <v>4</v>
      </c>
      <c r="C21" t="s">
        <v>5</v>
      </c>
      <c r="D21" s="6">
        <v>126234</v>
      </c>
      <c r="E21">
        <v>126234</v>
      </c>
      <c r="F21" s="4">
        <v>18206</v>
      </c>
      <c r="G21">
        <v>2</v>
      </c>
      <c r="H21">
        <v>1</v>
      </c>
      <c r="I21">
        <v>12</v>
      </c>
      <c r="J21">
        <v>1</v>
      </c>
      <c r="K21">
        <v>4.5999999999999996</v>
      </c>
      <c r="L21" s="15">
        <f t="shared" si="4"/>
        <v>9.8095064890652335</v>
      </c>
      <c r="M21" s="15">
        <f t="shared" si="5"/>
        <v>1.7227665977411035</v>
      </c>
      <c r="N21" s="15">
        <f t="shared" si="6"/>
        <v>0.69314718055994529</v>
      </c>
      <c r="O21" s="15">
        <f t="shared" si="7"/>
        <v>2.5649493574615367</v>
      </c>
    </row>
    <row r="22" spans="1:16" ht="28.8" x14ac:dyDescent="0.3">
      <c r="A22">
        <v>21</v>
      </c>
      <c r="B22" t="s">
        <v>4</v>
      </c>
      <c r="C22" t="s">
        <v>5</v>
      </c>
      <c r="D22" s="1" t="s">
        <v>28</v>
      </c>
      <c r="E22">
        <v>126234</v>
      </c>
      <c r="F22" s="4">
        <v>12990</v>
      </c>
      <c r="G22">
        <v>2</v>
      </c>
      <c r="H22">
        <v>1</v>
      </c>
      <c r="I22">
        <v>12</v>
      </c>
      <c r="J22">
        <v>1</v>
      </c>
      <c r="K22">
        <v>4.9000000000000004</v>
      </c>
      <c r="L22" s="15">
        <f t="shared" si="4"/>
        <v>9.4719351096646456</v>
      </c>
      <c r="M22" s="15">
        <f t="shared" si="5"/>
        <v>1.7749523509116738</v>
      </c>
      <c r="N22" s="15">
        <f t="shared" si="6"/>
        <v>0.69314718055994529</v>
      </c>
      <c r="O22" s="15">
        <f t="shared" si="7"/>
        <v>2.5649493574615367</v>
      </c>
    </row>
    <row r="23" spans="1:16" ht="57.6" x14ac:dyDescent="0.3">
      <c r="A23">
        <v>22</v>
      </c>
      <c r="B23" t="s">
        <v>4</v>
      </c>
      <c r="C23" t="s">
        <v>5</v>
      </c>
      <c r="D23" s="1" t="s">
        <v>29</v>
      </c>
      <c r="E23">
        <v>126234</v>
      </c>
      <c r="F23" s="4">
        <v>15290</v>
      </c>
      <c r="G23">
        <v>1</v>
      </c>
      <c r="H23">
        <v>1</v>
      </c>
      <c r="I23">
        <v>12</v>
      </c>
      <c r="J23">
        <v>1</v>
      </c>
      <c r="K23">
        <v>4.3</v>
      </c>
      <c r="L23" s="15">
        <f t="shared" si="4"/>
        <v>9.6349542989231072</v>
      </c>
      <c r="M23" s="15">
        <f t="shared" si="5"/>
        <v>1.6677068205580761</v>
      </c>
      <c r="N23" s="15">
        <f t="shared" si="6"/>
        <v>0.69314718055994529</v>
      </c>
      <c r="O23" s="15">
        <f t="shared" si="7"/>
        <v>2.5649493574615367</v>
      </c>
    </row>
    <row r="24" spans="1:16" ht="43.2" x14ac:dyDescent="0.3">
      <c r="A24">
        <v>23</v>
      </c>
      <c r="B24" t="s">
        <v>4</v>
      </c>
      <c r="C24" t="s">
        <v>5</v>
      </c>
      <c r="D24" s="1" t="s">
        <v>30</v>
      </c>
      <c r="E24">
        <v>126234</v>
      </c>
      <c r="F24" s="4">
        <v>15218</v>
      </c>
      <c r="G24">
        <v>2</v>
      </c>
      <c r="H24">
        <v>0</v>
      </c>
      <c r="I24">
        <v>0</v>
      </c>
      <c r="J24">
        <v>1</v>
      </c>
      <c r="K24">
        <v>4.8</v>
      </c>
      <c r="L24" s="15">
        <f t="shared" si="4"/>
        <v>9.6302342167364685</v>
      </c>
      <c r="M24" s="15">
        <f t="shared" si="5"/>
        <v>1.7578579175523736</v>
      </c>
      <c r="N24" s="15">
        <f t="shared" si="6"/>
        <v>0</v>
      </c>
      <c r="O24" s="15">
        <f t="shared" si="7"/>
        <v>0</v>
      </c>
    </row>
    <row r="25" spans="1:16" s="11" customFormat="1" ht="43.2" x14ac:dyDescent="0.3">
      <c r="A25">
        <v>24</v>
      </c>
      <c r="B25" s="11" t="s">
        <v>4</v>
      </c>
      <c r="C25" s="11" t="s">
        <v>5</v>
      </c>
      <c r="D25" s="12" t="s">
        <v>31</v>
      </c>
      <c r="E25" s="11">
        <v>126234</v>
      </c>
      <c r="F25" s="13">
        <v>14780</v>
      </c>
      <c r="G25" s="11">
        <v>2</v>
      </c>
      <c r="H25" s="11">
        <v>1</v>
      </c>
      <c r="I25" s="11">
        <v>60</v>
      </c>
      <c r="J25" s="11">
        <v>1</v>
      </c>
      <c r="K25" s="11">
        <v>4.9000000000000004</v>
      </c>
      <c r="L25" s="19">
        <f t="shared" si="4"/>
        <v>9.6010301945021936</v>
      </c>
      <c r="M25" s="19">
        <f t="shared" si="5"/>
        <v>1.7749523509116738</v>
      </c>
      <c r="N25" s="19">
        <f t="shared" si="6"/>
        <v>0.69314718055994529</v>
      </c>
      <c r="O25" s="19">
        <f t="shared" si="7"/>
        <v>4.1108738641733114</v>
      </c>
      <c r="P25" s="14" t="s">
        <v>104</v>
      </c>
    </row>
    <row r="26" spans="1:16" s="11" customFormat="1" ht="86.4" x14ac:dyDescent="0.3">
      <c r="A26">
        <v>25</v>
      </c>
      <c r="B26" s="11" t="s">
        <v>4</v>
      </c>
      <c r="C26" s="11" t="s">
        <v>5</v>
      </c>
      <c r="D26" s="12" t="s">
        <v>33</v>
      </c>
      <c r="E26" s="11">
        <v>126234</v>
      </c>
      <c r="F26" s="13">
        <v>14035</v>
      </c>
      <c r="G26" s="11">
        <v>2</v>
      </c>
      <c r="H26" s="11">
        <v>0</v>
      </c>
      <c r="I26" s="11">
        <v>0</v>
      </c>
      <c r="J26" s="11">
        <v>1</v>
      </c>
      <c r="K26" s="11">
        <v>5</v>
      </c>
      <c r="L26" s="15">
        <f t="shared" si="4"/>
        <v>9.5493094887959824</v>
      </c>
      <c r="M26" s="15">
        <f t="shared" si="5"/>
        <v>1.791759469228055</v>
      </c>
      <c r="N26" s="15">
        <f t="shared" si="6"/>
        <v>0</v>
      </c>
      <c r="O26" s="15">
        <f t="shared" si="7"/>
        <v>0</v>
      </c>
      <c r="P26" s="14" t="s">
        <v>73</v>
      </c>
    </row>
    <row r="27" spans="1:16" ht="28.8" x14ac:dyDescent="0.3">
      <c r="A27">
        <v>26</v>
      </c>
      <c r="B27" t="s">
        <v>4</v>
      </c>
      <c r="C27" t="s">
        <v>5</v>
      </c>
      <c r="D27" s="1" t="s">
        <v>34</v>
      </c>
      <c r="E27">
        <v>126234</v>
      </c>
      <c r="F27" s="4">
        <v>16871</v>
      </c>
      <c r="G27">
        <v>2</v>
      </c>
      <c r="H27">
        <v>1</v>
      </c>
      <c r="I27">
        <v>12</v>
      </c>
      <c r="J27">
        <v>1</v>
      </c>
      <c r="K27">
        <v>4.5999999999999996</v>
      </c>
      <c r="L27" s="15">
        <f t="shared" si="4"/>
        <v>9.7333514506059746</v>
      </c>
      <c r="M27" s="15">
        <f t="shared" si="5"/>
        <v>1.7227665977411035</v>
      </c>
      <c r="N27" s="15">
        <f t="shared" si="6"/>
        <v>0.69314718055994529</v>
      </c>
      <c r="O27" s="15">
        <f t="shared" si="7"/>
        <v>2.5649493574615367</v>
      </c>
    </row>
    <row r="28" spans="1:16" ht="43.2" x14ac:dyDescent="0.3">
      <c r="A28">
        <v>27</v>
      </c>
      <c r="B28" t="s">
        <v>4</v>
      </c>
      <c r="C28" t="s">
        <v>5</v>
      </c>
      <c r="D28" s="1" t="s">
        <v>35</v>
      </c>
      <c r="E28">
        <v>126234</v>
      </c>
      <c r="F28" s="4">
        <v>18854</v>
      </c>
      <c r="G28">
        <v>2</v>
      </c>
      <c r="H28">
        <v>1</v>
      </c>
      <c r="I28">
        <v>12</v>
      </c>
      <c r="J28">
        <v>1</v>
      </c>
      <c r="K28">
        <v>5</v>
      </c>
      <c r="L28" s="15">
        <f t="shared" si="4"/>
        <v>9.8444803719560952</v>
      </c>
      <c r="M28" s="15">
        <f t="shared" si="5"/>
        <v>1.791759469228055</v>
      </c>
      <c r="N28" s="15">
        <f t="shared" si="6"/>
        <v>0.69314718055994529</v>
      </c>
      <c r="O28" s="15">
        <f t="shared" si="7"/>
        <v>2.5649493574615367</v>
      </c>
    </row>
    <row r="29" spans="1:16" ht="72" x14ac:dyDescent="0.3">
      <c r="A29">
        <v>28</v>
      </c>
      <c r="B29" t="s">
        <v>4</v>
      </c>
      <c r="C29" t="s">
        <v>5</v>
      </c>
      <c r="D29" s="1" t="s">
        <v>36</v>
      </c>
      <c r="E29">
        <v>126234</v>
      </c>
      <c r="F29" s="4">
        <v>20770</v>
      </c>
      <c r="G29">
        <v>2</v>
      </c>
      <c r="H29">
        <v>1</v>
      </c>
      <c r="I29">
        <v>12</v>
      </c>
      <c r="J29">
        <v>1</v>
      </c>
      <c r="K29">
        <v>5</v>
      </c>
      <c r="L29" s="15">
        <f t="shared" si="4"/>
        <v>9.9412649168701588</v>
      </c>
      <c r="M29" s="15">
        <f t="shared" si="5"/>
        <v>1.791759469228055</v>
      </c>
      <c r="N29" s="15">
        <f t="shared" si="6"/>
        <v>0.69314718055994529</v>
      </c>
      <c r="O29" s="15">
        <f t="shared" si="7"/>
        <v>2.5649493574615367</v>
      </c>
      <c r="P29" s="5" t="s">
        <v>163</v>
      </c>
    </row>
    <row r="30" spans="1:16" ht="43.2" x14ac:dyDescent="0.3">
      <c r="A30">
        <v>29</v>
      </c>
      <c r="B30" t="s">
        <v>4</v>
      </c>
      <c r="C30" t="s">
        <v>5</v>
      </c>
      <c r="D30" s="1">
        <v>126234</v>
      </c>
      <c r="E30">
        <v>126234</v>
      </c>
      <c r="F30" s="4">
        <v>11785</v>
      </c>
      <c r="G30">
        <v>1</v>
      </c>
      <c r="H30">
        <v>0</v>
      </c>
      <c r="I30">
        <v>0</v>
      </c>
      <c r="J30">
        <v>1</v>
      </c>
      <c r="K30">
        <v>4.7</v>
      </c>
      <c r="L30" s="15">
        <f t="shared" si="4"/>
        <v>9.374582815370232</v>
      </c>
      <c r="M30" s="15">
        <f t="shared" si="5"/>
        <v>1.7404661748405046</v>
      </c>
      <c r="N30" s="15">
        <f t="shared" si="6"/>
        <v>0</v>
      </c>
      <c r="O30" s="15">
        <f t="shared" si="7"/>
        <v>0</v>
      </c>
      <c r="P30" s="5" t="s">
        <v>175</v>
      </c>
    </row>
    <row r="31" spans="1:16" ht="72" x14ac:dyDescent="0.3">
      <c r="A31">
        <v>30</v>
      </c>
      <c r="B31" t="s">
        <v>4</v>
      </c>
      <c r="C31" t="s">
        <v>5</v>
      </c>
      <c r="D31" s="1" t="s">
        <v>37</v>
      </c>
      <c r="E31">
        <v>126234</v>
      </c>
      <c r="F31" s="4">
        <v>18563</v>
      </c>
      <c r="G31">
        <v>2</v>
      </c>
      <c r="H31">
        <v>1</v>
      </c>
      <c r="I31">
        <v>24</v>
      </c>
      <c r="J31">
        <v>1</v>
      </c>
      <c r="K31">
        <v>4.8</v>
      </c>
      <c r="L31" s="15">
        <f t="shared" si="4"/>
        <v>9.8289256312092235</v>
      </c>
      <c r="M31" s="15">
        <f t="shared" si="5"/>
        <v>1.7578579175523736</v>
      </c>
      <c r="N31" s="15">
        <f t="shared" si="6"/>
        <v>0.69314718055994529</v>
      </c>
      <c r="O31" s="15">
        <f t="shared" si="7"/>
        <v>3.2188758248682006</v>
      </c>
      <c r="P31" s="5" t="s">
        <v>105</v>
      </c>
    </row>
    <row r="32" spans="1:16" ht="72" x14ac:dyDescent="0.3">
      <c r="A32">
        <v>31</v>
      </c>
      <c r="B32" t="s">
        <v>4</v>
      </c>
      <c r="C32" t="s">
        <v>5</v>
      </c>
      <c r="D32" s="1" t="s">
        <v>21</v>
      </c>
      <c r="E32">
        <v>126234</v>
      </c>
      <c r="F32" s="4">
        <v>18272</v>
      </c>
      <c r="G32">
        <v>2</v>
      </c>
      <c r="H32">
        <v>1</v>
      </c>
      <c r="I32">
        <v>12</v>
      </c>
      <c r="J32">
        <v>1</v>
      </c>
      <c r="K32">
        <v>4.5999999999999996</v>
      </c>
      <c r="L32" s="15">
        <f t="shared" si="4"/>
        <v>9.8131251124557366</v>
      </c>
      <c r="M32" s="15">
        <f t="shared" si="5"/>
        <v>1.7227665977411035</v>
      </c>
      <c r="N32" s="15">
        <f t="shared" si="6"/>
        <v>0.69314718055994529</v>
      </c>
      <c r="O32" s="15">
        <f t="shared" si="7"/>
        <v>2.5649493574615367</v>
      </c>
      <c r="P32" s="5" t="s">
        <v>71</v>
      </c>
    </row>
    <row r="33" spans="1:16" x14ac:dyDescent="0.3">
      <c r="A33">
        <v>32</v>
      </c>
      <c r="B33" t="s">
        <v>4</v>
      </c>
      <c r="C33" t="s">
        <v>5</v>
      </c>
      <c r="D33" s="1" t="s">
        <v>38</v>
      </c>
      <c r="E33">
        <v>126234</v>
      </c>
      <c r="F33" s="4">
        <v>16564</v>
      </c>
      <c r="G33">
        <v>0</v>
      </c>
      <c r="H33">
        <v>1</v>
      </c>
      <c r="I33">
        <v>60</v>
      </c>
      <c r="J33">
        <v>1</v>
      </c>
      <c r="K33">
        <v>4.9000000000000004</v>
      </c>
      <c r="L33" s="15">
        <f t="shared" si="4"/>
        <v>9.7149869446654584</v>
      </c>
      <c r="M33" s="15">
        <f t="shared" si="5"/>
        <v>1.7749523509116738</v>
      </c>
      <c r="N33" s="15">
        <f t="shared" si="6"/>
        <v>0.69314718055994529</v>
      </c>
      <c r="O33" s="15">
        <f t="shared" si="7"/>
        <v>4.1108738641733114</v>
      </c>
    </row>
    <row r="34" spans="1:16" ht="28.8" x14ac:dyDescent="0.3">
      <c r="A34">
        <v>33</v>
      </c>
      <c r="B34" t="s">
        <v>4</v>
      </c>
      <c r="C34" t="s">
        <v>5</v>
      </c>
      <c r="D34" s="1" t="s">
        <v>39</v>
      </c>
      <c r="E34">
        <v>126234</v>
      </c>
      <c r="F34" s="4">
        <v>15892</v>
      </c>
      <c r="G34">
        <v>2</v>
      </c>
      <c r="H34">
        <v>1</v>
      </c>
      <c r="I34">
        <v>12</v>
      </c>
      <c r="J34">
        <v>1</v>
      </c>
      <c r="K34">
        <v>4.5999999999999996</v>
      </c>
      <c r="L34" s="15">
        <f t="shared" si="4"/>
        <v>9.6735711169344896</v>
      </c>
      <c r="M34" s="15">
        <f t="shared" si="5"/>
        <v>1.7227665977411035</v>
      </c>
      <c r="N34" s="15">
        <f t="shared" si="6"/>
        <v>0.69314718055994529</v>
      </c>
      <c r="O34" s="15">
        <f t="shared" si="7"/>
        <v>2.5649493574615367</v>
      </c>
    </row>
    <row r="35" spans="1:16" ht="83.4" customHeight="1" x14ac:dyDescent="0.3">
      <c r="A35">
        <v>34</v>
      </c>
      <c r="B35" t="s">
        <v>4</v>
      </c>
      <c r="C35" t="s">
        <v>5</v>
      </c>
      <c r="D35" s="1" t="s">
        <v>41</v>
      </c>
      <c r="E35">
        <v>126234</v>
      </c>
      <c r="F35" s="4">
        <v>13736</v>
      </c>
      <c r="G35">
        <v>2</v>
      </c>
      <c r="H35">
        <v>1</v>
      </c>
      <c r="I35">
        <v>12</v>
      </c>
      <c r="J35">
        <v>1</v>
      </c>
      <c r="K35">
        <v>4.8</v>
      </c>
      <c r="L35" s="15">
        <f t="shared" si="4"/>
        <v>9.527775402577312</v>
      </c>
      <c r="M35" s="15">
        <f t="shared" si="5"/>
        <v>1.7578579175523736</v>
      </c>
      <c r="N35" s="15">
        <f t="shared" si="6"/>
        <v>0.69314718055994529</v>
      </c>
      <c r="O35" s="15">
        <f t="shared" si="7"/>
        <v>2.5649493574615367</v>
      </c>
      <c r="P35" s="5" t="s">
        <v>43</v>
      </c>
    </row>
    <row r="36" spans="1:16" ht="43.2" x14ac:dyDescent="0.3">
      <c r="A36">
        <v>35</v>
      </c>
      <c r="B36" t="s">
        <v>4</v>
      </c>
      <c r="C36" t="s">
        <v>5</v>
      </c>
      <c r="D36" s="1" t="s">
        <v>44</v>
      </c>
      <c r="E36">
        <v>126234</v>
      </c>
      <c r="F36" s="4">
        <v>18678</v>
      </c>
      <c r="G36">
        <v>2</v>
      </c>
      <c r="H36">
        <v>1</v>
      </c>
      <c r="I36">
        <v>24</v>
      </c>
      <c r="J36">
        <v>1</v>
      </c>
      <c r="K36">
        <v>4.8</v>
      </c>
      <c r="L36" s="15">
        <f t="shared" si="4"/>
        <v>9.8351016396696629</v>
      </c>
      <c r="M36" s="15">
        <f t="shared" si="5"/>
        <v>1.7578579175523736</v>
      </c>
      <c r="N36" s="15">
        <f t="shared" si="6"/>
        <v>0.69314718055994529</v>
      </c>
      <c r="O36" s="15">
        <f t="shared" si="7"/>
        <v>3.2188758248682006</v>
      </c>
      <c r="P36" s="5" t="s">
        <v>45</v>
      </c>
    </row>
    <row r="37" spans="1:16" ht="43.2" x14ac:dyDescent="0.3">
      <c r="A37">
        <v>36</v>
      </c>
      <c r="B37" t="s">
        <v>4</v>
      </c>
      <c r="C37" t="s">
        <v>5</v>
      </c>
      <c r="D37" s="1" t="s">
        <v>46</v>
      </c>
      <c r="E37">
        <v>126234</v>
      </c>
      <c r="F37" s="4">
        <v>18829</v>
      </c>
      <c r="G37">
        <v>2</v>
      </c>
      <c r="H37">
        <v>1</v>
      </c>
      <c r="I37">
        <v>12</v>
      </c>
      <c r="J37">
        <v>1</v>
      </c>
      <c r="K37">
        <v>4.9000000000000004</v>
      </c>
      <c r="L37" s="15">
        <f t="shared" si="4"/>
        <v>9.8431535134964285</v>
      </c>
      <c r="M37" s="15">
        <f t="shared" si="5"/>
        <v>1.7749523509116738</v>
      </c>
      <c r="N37" s="15">
        <f t="shared" si="6"/>
        <v>0.69314718055994529</v>
      </c>
      <c r="O37" s="15">
        <f t="shared" si="7"/>
        <v>2.5649493574615367</v>
      </c>
      <c r="P37" s="5" t="s">
        <v>47</v>
      </c>
    </row>
    <row r="38" spans="1:16" ht="72" x14ac:dyDescent="0.3">
      <c r="A38">
        <v>37</v>
      </c>
      <c r="B38" t="s">
        <v>4</v>
      </c>
      <c r="C38" t="s">
        <v>5</v>
      </c>
      <c r="D38" s="1" t="s">
        <v>48</v>
      </c>
      <c r="E38">
        <v>126234</v>
      </c>
      <c r="F38" s="4">
        <v>16640</v>
      </c>
      <c r="G38">
        <v>2</v>
      </c>
      <c r="H38">
        <v>1</v>
      </c>
      <c r="I38">
        <v>12</v>
      </c>
      <c r="J38">
        <v>1</v>
      </c>
      <c r="K38">
        <v>5</v>
      </c>
      <c r="L38" s="15">
        <f t="shared" si="4"/>
        <v>9.7195647143751991</v>
      </c>
      <c r="M38" s="15">
        <f t="shared" si="5"/>
        <v>1.791759469228055</v>
      </c>
      <c r="N38" s="15">
        <f t="shared" si="6"/>
        <v>0.69314718055994529</v>
      </c>
      <c r="O38" s="15">
        <f t="shared" si="7"/>
        <v>2.5649493574615367</v>
      </c>
      <c r="P38" s="5" t="s">
        <v>49</v>
      </c>
    </row>
    <row r="39" spans="1:16" ht="57.6" x14ac:dyDescent="0.3">
      <c r="A39">
        <v>38</v>
      </c>
      <c r="B39" t="s">
        <v>4</v>
      </c>
      <c r="C39" t="s">
        <v>5</v>
      </c>
      <c r="D39" s="1" t="s">
        <v>50</v>
      </c>
      <c r="E39">
        <v>126234</v>
      </c>
      <c r="F39" s="4">
        <v>15904</v>
      </c>
      <c r="G39">
        <v>1</v>
      </c>
      <c r="H39">
        <v>1</v>
      </c>
      <c r="I39">
        <v>12</v>
      </c>
      <c r="J39">
        <v>1</v>
      </c>
      <c r="K39">
        <v>4.5999999999999996</v>
      </c>
      <c r="L39" s="15">
        <f t="shared" si="4"/>
        <v>9.674325928896355</v>
      </c>
      <c r="M39" s="15">
        <f t="shared" si="5"/>
        <v>1.7227665977411035</v>
      </c>
      <c r="N39" s="15">
        <f t="shared" si="6"/>
        <v>0.69314718055994529</v>
      </c>
      <c r="O39" s="15">
        <f t="shared" si="7"/>
        <v>2.5649493574615367</v>
      </c>
      <c r="P39" s="5" t="s">
        <v>51</v>
      </c>
    </row>
    <row r="40" spans="1:16" ht="43.2" x14ac:dyDescent="0.3">
      <c r="A40">
        <v>39</v>
      </c>
      <c r="B40" t="s">
        <v>4</v>
      </c>
      <c r="C40" t="s">
        <v>5</v>
      </c>
      <c r="D40" s="1" t="s">
        <v>52</v>
      </c>
      <c r="E40">
        <v>126234</v>
      </c>
      <c r="F40" s="4">
        <v>16280</v>
      </c>
      <c r="G40">
        <v>2</v>
      </c>
      <c r="H40">
        <v>1</v>
      </c>
      <c r="I40">
        <v>24</v>
      </c>
      <c r="J40">
        <v>1</v>
      </c>
      <c r="K40">
        <v>4.5</v>
      </c>
      <c r="L40" s="15">
        <f t="shared" si="4"/>
        <v>9.6976926395565322</v>
      </c>
      <c r="M40" s="15">
        <f t="shared" si="5"/>
        <v>1.7047480922384253</v>
      </c>
      <c r="N40" s="15">
        <f t="shared" si="6"/>
        <v>0.69314718055994529</v>
      </c>
      <c r="O40" s="15">
        <f t="shared" si="7"/>
        <v>3.2188758248682006</v>
      </c>
      <c r="P40" s="5" t="s">
        <v>53</v>
      </c>
    </row>
    <row r="41" spans="1:16" ht="43.2" x14ac:dyDescent="0.3">
      <c r="A41">
        <v>40</v>
      </c>
      <c r="B41" t="s">
        <v>4</v>
      </c>
      <c r="C41" t="s">
        <v>5</v>
      </c>
      <c r="D41" s="1" t="s">
        <v>54</v>
      </c>
      <c r="E41">
        <v>126234</v>
      </c>
      <c r="F41" s="4">
        <v>16446</v>
      </c>
      <c r="G41">
        <v>2</v>
      </c>
      <c r="H41">
        <v>1</v>
      </c>
      <c r="I41">
        <v>12</v>
      </c>
      <c r="J41">
        <v>1</v>
      </c>
      <c r="K41">
        <v>4.9000000000000004</v>
      </c>
      <c r="L41" s="15">
        <f t="shared" si="4"/>
        <v>9.7078375655308413</v>
      </c>
      <c r="M41" s="15">
        <f t="shared" si="5"/>
        <v>1.7749523509116738</v>
      </c>
      <c r="N41" s="15">
        <f t="shared" si="6"/>
        <v>0.69314718055994529</v>
      </c>
      <c r="O41" s="15">
        <f t="shared" si="7"/>
        <v>2.5649493574615367</v>
      </c>
      <c r="P41" s="5" t="s">
        <v>55</v>
      </c>
    </row>
    <row r="42" spans="1:16" ht="72" x14ac:dyDescent="0.3">
      <c r="A42">
        <v>41</v>
      </c>
      <c r="B42" t="s">
        <v>4</v>
      </c>
      <c r="C42" t="s">
        <v>5</v>
      </c>
      <c r="D42" s="9" t="s">
        <v>56</v>
      </c>
      <c r="E42">
        <v>126234</v>
      </c>
      <c r="F42" s="4">
        <v>17373</v>
      </c>
      <c r="G42">
        <v>2</v>
      </c>
      <c r="H42">
        <v>1</v>
      </c>
      <c r="I42">
        <v>24</v>
      </c>
      <c r="J42">
        <v>1</v>
      </c>
      <c r="K42">
        <v>4.0999999999999996</v>
      </c>
      <c r="L42" s="15">
        <f t="shared" si="4"/>
        <v>9.7626725558939</v>
      </c>
      <c r="M42" s="15">
        <f t="shared" si="5"/>
        <v>1.62924053973028</v>
      </c>
      <c r="N42" s="15">
        <f t="shared" si="6"/>
        <v>0.69314718055994529</v>
      </c>
      <c r="O42" s="15">
        <f t="shared" si="7"/>
        <v>3.2188758248682006</v>
      </c>
      <c r="P42" s="5" t="s">
        <v>57</v>
      </c>
    </row>
    <row r="43" spans="1:16" ht="86.4" x14ac:dyDescent="0.3">
      <c r="A43">
        <v>42</v>
      </c>
      <c r="B43" t="s">
        <v>4</v>
      </c>
      <c r="C43" t="s">
        <v>5</v>
      </c>
      <c r="D43" s="1" t="s">
        <v>58</v>
      </c>
      <c r="E43">
        <v>126234</v>
      </c>
      <c r="F43" s="4">
        <v>16436</v>
      </c>
      <c r="G43">
        <v>2</v>
      </c>
      <c r="H43">
        <v>1</v>
      </c>
      <c r="I43">
        <v>12</v>
      </c>
      <c r="J43">
        <v>1</v>
      </c>
      <c r="K43">
        <v>4.5999999999999996</v>
      </c>
      <c r="L43" s="15">
        <f t="shared" si="4"/>
        <v>9.707229330003301</v>
      </c>
      <c r="M43" s="15">
        <f t="shared" si="5"/>
        <v>1.7227665977411035</v>
      </c>
      <c r="N43" s="15">
        <f t="shared" si="6"/>
        <v>0.69314718055994529</v>
      </c>
      <c r="O43" s="15">
        <f t="shared" si="7"/>
        <v>2.5649493574615367</v>
      </c>
      <c r="P43" s="5" t="s">
        <v>59</v>
      </c>
    </row>
    <row r="44" spans="1:16" ht="43.2" x14ac:dyDescent="0.3">
      <c r="A44">
        <v>43</v>
      </c>
      <c r="B44" t="s">
        <v>4</v>
      </c>
      <c r="C44" t="s">
        <v>5</v>
      </c>
      <c r="D44" s="1">
        <v>126234</v>
      </c>
      <c r="E44">
        <v>126234</v>
      </c>
      <c r="F44" s="4">
        <v>10425</v>
      </c>
      <c r="G44">
        <v>2</v>
      </c>
      <c r="H44">
        <v>0</v>
      </c>
      <c r="I44">
        <v>0</v>
      </c>
      <c r="J44">
        <v>0</v>
      </c>
      <c r="K44">
        <v>0</v>
      </c>
      <c r="L44" s="15">
        <f t="shared" si="4"/>
        <v>9.2519620466670016</v>
      </c>
      <c r="M44" s="15">
        <f t="shared" si="5"/>
        <v>0</v>
      </c>
      <c r="N44" s="15">
        <f t="shared" si="6"/>
        <v>0</v>
      </c>
      <c r="O44" s="15">
        <f t="shared" si="7"/>
        <v>0</v>
      </c>
      <c r="P44" s="5" t="s">
        <v>60</v>
      </c>
    </row>
    <row r="45" spans="1:16" ht="43.2" x14ac:dyDescent="0.3">
      <c r="A45">
        <v>44</v>
      </c>
      <c r="B45" t="s">
        <v>4</v>
      </c>
      <c r="C45" t="s">
        <v>5</v>
      </c>
      <c r="D45" s="1" t="s">
        <v>61</v>
      </c>
      <c r="E45">
        <v>126234</v>
      </c>
      <c r="F45" s="4">
        <v>7413</v>
      </c>
      <c r="G45">
        <v>2</v>
      </c>
      <c r="H45">
        <v>0</v>
      </c>
      <c r="I45">
        <v>0</v>
      </c>
      <c r="J45">
        <v>0</v>
      </c>
      <c r="K45">
        <v>0</v>
      </c>
      <c r="L45" s="15">
        <f t="shared" si="4"/>
        <v>8.9109904946567191</v>
      </c>
      <c r="M45" s="15">
        <f t="shared" si="5"/>
        <v>0</v>
      </c>
      <c r="N45" s="15">
        <f t="shared" si="6"/>
        <v>0</v>
      </c>
      <c r="O45" s="15">
        <f t="shared" si="7"/>
        <v>0</v>
      </c>
      <c r="P45" s="5" t="s">
        <v>62</v>
      </c>
    </row>
    <row r="46" spans="1:16" ht="43.2" x14ac:dyDescent="0.3">
      <c r="A46">
        <v>45</v>
      </c>
      <c r="B46" t="s">
        <v>4</v>
      </c>
      <c r="C46" t="s">
        <v>5</v>
      </c>
      <c r="D46" s="1">
        <v>126234</v>
      </c>
      <c r="E46">
        <v>126234</v>
      </c>
      <c r="F46" s="4">
        <v>12192</v>
      </c>
      <c r="G46">
        <v>2</v>
      </c>
      <c r="H46">
        <v>0</v>
      </c>
      <c r="I46">
        <v>0</v>
      </c>
      <c r="J46">
        <v>1</v>
      </c>
      <c r="K46">
        <v>4.7</v>
      </c>
      <c r="L46" s="15">
        <f t="shared" si="4"/>
        <v>9.4085352779264273</v>
      </c>
      <c r="M46" s="15">
        <f t="shared" si="5"/>
        <v>1.7404661748405046</v>
      </c>
      <c r="N46" s="15">
        <f t="shared" si="6"/>
        <v>0</v>
      </c>
      <c r="O46" s="15">
        <f t="shared" si="7"/>
        <v>0</v>
      </c>
      <c r="P46" s="5" t="s">
        <v>63</v>
      </c>
    </row>
    <row r="47" spans="1:16" x14ac:dyDescent="0.3">
      <c r="A47">
        <v>46</v>
      </c>
      <c r="B47" t="s">
        <v>4</v>
      </c>
      <c r="C47" t="s">
        <v>5</v>
      </c>
      <c r="D47" s="1">
        <v>126234</v>
      </c>
      <c r="E47">
        <v>126234</v>
      </c>
      <c r="F47" s="4">
        <v>16028</v>
      </c>
      <c r="G47">
        <v>2</v>
      </c>
      <c r="H47">
        <v>1</v>
      </c>
      <c r="I47">
        <v>12</v>
      </c>
      <c r="J47">
        <v>1</v>
      </c>
      <c r="K47">
        <v>4.7</v>
      </c>
      <c r="L47" s="15">
        <f t="shared" si="4"/>
        <v>9.6820924717560359</v>
      </c>
      <c r="M47" s="15">
        <f t="shared" si="5"/>
        <v>1.7404661748405046</v>
      </c>
      <c r="N47" s="15">
        <f t="shared" si="6"/>
        <v>0.69314718055994529</v>
      </c>
      <c r="O47" s="15">
        <f t="shared" si="7"/>
        <v>2.5649493574615367</v>
      </c>
      <c r="P47" s="5"/>
    </row>
    <row r="48" spans="1:16" ht="43.2" x14ac:dyDescent="0.3">
      <c r="A48">
        <v>47</v>
      </c>
      <c r="B48" t="s">
        <v>4</v>
      </c>
      <c r="C48" t="s">
        <v>5</v>
      </c>
      <c r="D48" s="1" t="s">
        <v>64</v>
      </c>
      <c r="E48">
        <v>126234</v>
      </c>
      <c r="F48" s="4">
        <v>7071</v>
      </c>
      <c r="G48">
        <v>2</v>
      </c>
      <c r="H48">
        <v>0</v>
      </c>
      <c r="I48">
        <v>0</v>
      </c>
      <c r="J48">
        <v>0</v>
      </c>
      <c r="K48">
        <v>0</v>
      </c>
      <c r="L48" s="15">
        <f t="shared" si="4"/>
        <v>8.8637571916042415</v>
      </c>
      <c r="M48" s="15">
        <f t="shared" si="5"/>
        <v>0</v>
      </c>
      <c r="N48" s="15">
        <f t="shared" si="6"/>
        <v>0</v>
      </c>
      <c r="O48" s="15">
        <f t="shared" si="7"/>
        <v>0</v>
      </c>
      <c r="P48" s="5" t="s">
        <v>65</v>
      </c>
    </row>
    <row r="49" spans="1:16" ht="43.2" x14ac:dyDescent="0.3">
      <c r="A49">
        <v>48</v>
      </c>
      <c r="B49" t="s">
        <v>4</v>
      </c>
      <c r="C49" t="s">
        <v>5</v>
      </c>
      <c r="D49" s="1">
        <v>126234</v>
      </c>
      <c r="E49">
        <v>126234</v>
      </c>
      <c r="F49" s="4">
        <v>16360</v>
      </c>
      <c r="G49">
        <v>1</v>
      </c>
      <c r="H49">
        <v>1</v>
      </c>
      <c r="I49">
        <v>24</v>
      </c>
      <c r="J49">
        <v>1</v>
      </c>
      <c r="K49">
        <v>4.2</v>
      </c>
      <c r="L49" s="15">
        <f t="shared" si="4"/>
        <v>9.7025946101567389</v>
      </c>
      <c r="M49" s="15">
        <f t="shared" si="5"/>
        <v>1.6486586255873816</v>
      </c>
      <c r="N49" s="15">
        <f t="shared" si="6"/>
        <v>0.69314718055994529</v>
      </c>
      <c r="O49" s="15">
        <f t="shared" si="7"/>
        <v>3.2188758248682006</v>
      </c>
      <c r="P49" s="5" t="s">
        <v>66</v>
      </c>
    </row>
    <row r="50" spans="1:16" ht="57.6" x14ac:dyDescent="0.3">
      <c r="A50">
        <v>49</v>
      </c>
      <c r="B50" t="s">
        <v>4</v>
      </c>
      <c r="C50" t="s">
        <v>5</v>
      </c>
      <c r="D50" s="1" t="s">
        <v>68</v>
      </c>
      <c r="E50">
        <v>126234</v>
      </c>
      <c r="F50" s="4">
        <v>10209</v>
      </c>
      <c r="G50">
        <v>1</v>
      </c>
      <c r="H50">
        <v>0</v>
      </c>
      <c r="I50">
        <v>0</v>
      </c>
      <c r="J50">
        <v>1</v>
      </c>
      <c r="K50">
        <v>5</v>
      </c>
      <c r="L50" s="15">
        <f t="shared" si="4"/>
        <v>9.2310249631690162</v>
      </c>
      <c r="M50" s="15">
        <f t="shared" si="5"/>
        <v>1.791759469228055</v>
      </c>
      <c r="N50" s="15">
        <f t="shared" si="6"/>
        <v>0</v>
      </c>
      <c r="O50" s="15">
        <f t="shared" si="7"/>
        <v>0</v>
      </c>
      <c r="P50" s="5" t="s">
        <v>67</v>
      </c>
    </row>
    <row r="51" spans="1:16" ht="72" x14ac:dyDescent="0.3">
      <c r="A51">
        <v>50</v>
      </c>
      <c r="B51" t="s">
        <v>4</v>
      </c>
      <c r="C51" t="s">
        <v>5</v>
      </c>
      <c r="D51" s="1" t="s">
        <v>77</v>
      </c>
      <c r="E51">
        <v>126234</v>
      </c>
      <c r="F51" s="4">
        <v>16252</v>
      </c>
      <c r="G51">
        <v>2</v>
      </c>
      <c r="H51">
        <v>0</v>
      </c>
      <c r="I51">
        <v>0</v>
      </c>
      <c r="J51">
        <v>1</v>
      </c>
      <c r="K51">
        <v>4.5</v>
      </c>
      <c r="L51" s="15">
        <f t="shared" si="4"/>
        <v>9.6959712571076171</v>
      </c>
      <c r="M51" s="15">
        <f t="shared" si="5"/>
        <v>1.7047480922384253</v>
      </c>
      <c r="N51" s="15">
        <f t="shared" si="6"/>
        <v>0</v>
      </c>
      <c r="O51" s="15">
        <f t="shared" si="7"/>
        <v>0</v>
      </c>
      <c r="P51" s="5" t="s">
        <v>78</v>
      </c>
    </row>
    <row r="52" spans="1:16" ht="72" x14ac:dyDescent="0.3">
      <c r="A52">
        <v>51</v>
      </c>
      <c r="B52" t="s">
        <v>4</v>
      </c>
      <c r="C52" t="s">
        <v>5</v>
      </c>
      <c r="D52" s="1" t="s">
        <v>79</v>
      </c>
      <c r="E52">
        <v>126234</v>
      </c>
      <c r="F52" s="4">
        <v>12209</v>
      </c>
      <c r="G52">
        <v>2</v>
      </c>
      <c r="H52">
        <v>0</v>
      </c>
      <c r="I52">
        <v>0</v>
      </c>
      <c r="J52">
        <v>1</v>
      </c>
      <c r="K52">
        <v>4.9000000000000004</v>
      </c>
      <c r="L52" s="15">
        <f t="shared" si="4"/>
        <v>9.4099286636688557</v>
      </c>
      <c r="M52" s="15">
        <f t="shared" si="5"/>
        <v>1.7749523509116738</v>
      </c>
      <c r="N52" s="15">
        <f t="shared" si="6"/>
        <v>0</v>
      </c>
      <c r="O52" s="15">
        <f t="shared" si="7"/>
        <v>0</v>
      </c>
      <c r="P52" s="5" t="s">
        <v>80</v>
      </c>
    </row>
    <row r="53" spans="1:16" ht="43.2" x14ac:dyDescent="0.3">
      <c r="A53">
        <v>52</v>
      </c>
      <c r="B53" t="s">
        <v>4</v>
      </c>
      <c r="C53" t="s">
        <v>5</v>
      </c>
      <c r="D53" s="1">
        <v>126234</v>
      </c>
      <c r="E53">
        <v>126234</v>
      </c>
      <c r="F53" s="4">
        <v>11585</v>
      </c>
      <c r="G53">
        <v>2</v>
      </c>
      <c r="H53">
        <v>0</v>
      </c>
      <c r="I53">
        <v>0</v>
      </c>
      <c r="J53">
        <v>1</v>
      </c>
      <c r="K53">
        <v>4.5999999999999996</v>
      </c>
      <c r="L53" s="15">
        <f t="shared" si="4"/>
        <v>9.3574664368664759</v>
      </c>
      <c r="M53" s="15">
        <f t="shared" si="5"/>
        <v>1.7227665977411035</v>
      </c>
      <c r="N53" s="15">
        <f t="shared" si="6"/>
        <v>0</v>
      </c>
      <c r="O53" s="15">
        <f t="shared" si="7"/>
        <v>0</v>
      </c>
      <c r="P53" s="5" t="s">
        <v>81</v>
      </c>
    </row>
    <row r="54" spans="1:16" ht="43.2" x14ac:dyDescent="0.3">
      <c r="A54">
        <v>53</v>
      </c>
      <c r="B54" t="s">
        <v>4</v>
      </c>
      <c r="C54" t="s">
        <v>5</v>
      </c>
      <c r="D54" s="1" t="s">
        <v>69</v>
      </c>
      <c r="E54">
        <v>126234</v>
      </c>
      <c r="F54" s="4">
        <v>17514</v>
      </c>
      <c r="G54">
        <v>2</v>
      </c>
      <c r="H54">
        <v>1</v>
      </c>
      <c r="I54">
        <v>12</v>
      </c>
      <c r="J54">
        <v>1</v>
      </c>
      <c r="K54">
        <v>4.9000000000000004</v>
      </c>
      <c r="L54" s="15">
        <f t="shared" si="4"/>
        <v>9.7707558400821704</v>
      </c>
      <c r="M54" s="15">
        <f t="shared" si="5"/>
        <v>1.7749523509116738</v>
      </c>
      <c r="N54" s="15">
        <f t="shared" si="6"/>
        <v>0.69314718055994529</v>
      </c>
      <c r="O54" s="15">
        <f t="shared" si="7"/>
        <v>2.5649493574615367</v>
      </c>
      <c r="P54" s="5" t="s">
        <v>83</v>
      </c>
    </row>
    <row r="55" spans="1:16" ht="72" x14ac:dyDescent="0.3">
      <c r="A55">
        <v>54</v>
      </c>
      <c r="B55" t="s">
        <v>4</v>
      </c>
      <c r="C55" t="s">
        <v>5</v>
      </c>
      <c r="D55" s="1" t="s">
        <v>85</v>
      </c>
      <c r="E55">
        <v>126234</v>
      </c>
      <c r="F55" s="4">
        <v>10767</v>
      </c>
      <c r="G55">
        <v>2</v>
      </c>
      <c r="H55">
        <v>0</v>
      </c>
      <c r="I55">
        <v>0</v>
      </c>
      <c r="J55">
        <v>1</v>
      </c>
      <c r="K55">
        <v>4.7</v>
      </c>
      <c r="L55" s="15">
        <f t="shared" si="4"/>
        <v>9.2842411798157176</v>
      </c>
      <c r="M55" s="15">
        <f t="shared" si="5"/>
        <v>1.7404661748405046</v>
      </c>
      <c r="N55" s="15">
        <f t="shared" si="6"/>
        <v>0</v>
      </c>
      <c r="O55" s="15">
        <f t="shared" si="7"/>
        <v>0</v>
      </c>
      <c r="P55" s="5" t="s">
        <v>84</v>
      </c>
    </row>
    <row r="56" spans="1:16" ht="43.2" x14ac:dyDescent="0.3">
      <c r="A56">
        <v>55</v>
      </c>
      <c r="B56" t="s">
        <v>4</v>
      </c>
      <c r="C56" t="s">
        <v>5</v>
      </c>
      <c r="D56" s="1">
        <v>126234</v>
      </c>
      <c r="E56">
        <v>126234</v>
      </c>
      <c r="F56" s="4">
        <v>11931</v>
      </c>
      <c r="G56">
        <v>2</v>
      </c>
      <c r="H56">
        <v>0</v>
      </c>
      <c r="I56">
        <v>0</v>
      </c>
      <c r="J56">
        <v>1</v>
      </c>
      <c r="K56">
        <v>4.8</v>
      </c>
      <c r="L56" s="15">
        <f t="shared" si="4"/>
        <v>9.3868953338758008</v>
      </c>
      <c r="M56" s="15">
        <f t="shared" si="5"/>
        <v>1.7578579175523736</v>
      </c>
      <c r="N56" s="15">
        <f t="shared" si="6"/>
        <v>0</v>
      </c>
      <c r="O56" s="15">
        <f t="shared" si="7"/>
        <v>0</v>
      </c>
      <c r="P56" s="5" t="s">
        <v>86</v>
      </c>
    </row>
    <row r="57" spans="1:16" ht="43.2" x14ac:dyDescent="0.3">
      <c r="A57">
        <v>56</v>
      </c>
      <c r="B57" t="s">
        <v>4</v>
      </c>
      <c r="C57" t="s">
        <v>5</v>
      </c>
      <c r="D57" s="1">
        <v>126234</v>
      </c>
      <c r="E57">
        <v>126234</v>
      </c>
      <c r="F57" s="4">
        <v>12168</v>
      </c>
      <c r="G57">
        <v>2</v>
      </c>
      <c r="H57">
        <v>0</v>
      </c>
      <c r="I57">
        <v>0</v>
      </c>
      <c r="J57">
        <v>1</v>
      </c>
      <c r="K57">
        <v>4.8</v>
      </c>
      <c r="L57" s="15">
        <f t="shared" si="4"/>
        <v>9.4065648339391288</v>
      </c>
      <c r="M57" s="15">
        <f t="shared" si="5"/>
        <v>1.7578579175523736</v>
      </c>
      <c r="N57" s="15">
        <f t="shared" si="6"/>
        <v>0</v>
      </c>
      <c r="O57" s="15">
        <f t="shared" si="7"/>
        <v>0</v>
      </c>
      <c r="P57" s="5" t="s">
        <v>87</v>
      </c>
    </row>
    <row r="58" spans="1:16" ht="86.4" x14ac:dyDescent="0.3">
      <c r="A58">
        <v>57</v>
      </c>
      <c r="B58" t="s">
        <v>4</v>
      </c>
      <c r="C58" t="s">
        <v>5</v>
      </c>
      <c r="D58" s="1" t="s">
        <v>88</v>
      </c>
      <c r="E58">
        <v>126234</v>
      </c>
      <c r="F58" s="4">
        <v>17432</v>
      </c>
      <c r="G58">
        <v>2</v>
      </c>
      <c r="H58">
        <v>1</v>
      </c>
      <c r="I58">
        <v>12</v>
      </c>
      <c r="J58">
        <v>1</v>
      </c>
      <c r="K58">
        <v>4.2</v>
      </c>
      <c r="L58" s="15">
        <f t="shared" si="4"/>
        <v>9.7660628766244564</v>
      </c>
      <c r="M58" s="15">
        <f t="shared" si="5"/>
        <v>1.6486586255873816</v>
      </c>
      <c r="N58" s="15">
        <f t="shared" si="6"/>
        <v>0.69314718055994529</v>
      </c>
      <c r="O58" s="15">
        <f t="shared" si="7"/>
        <v>2.5649493574615367</v>
      </c>
      <c r="P58" s="5" t="s">
        <v>89</v>
      </c>
    </row>
    <row r="59" spans="1:16" ht="43.2" x14ac:dyDescent="0.3">
      <c r="A59">
        <v>58</v>
      </c>
      <c r="B59" t="s">
        <v>4</v>
      </c>
      <c r="C59" t="s">
        <v>5</v>
      </c>
      <c r="D59" s="1">
        <v>126234</v>
      </c>
      <c r="E59">
        <v>126234</v>
      </c>
      <c r="F59" s="4">
        <v>16414</v>
      </c>
      <c r="G59">
        <v>1</v>
      </c>
      <c r="H59">
        <v>1</v>
      </c>
      <c r="I59">
        <v>24</v>
      </c>
      <c r="J59">
        <v>1</v>
      </c>
      <c r="K59">
        <v>4.2</v>
      </c>
      <c r="L59" s="15">
        <f t="shared" si="4"/>
        <v>9.7058899081896577</v>
      </c>
      <c r="M59" s="15">
        <f t="shared" si="5"/>
        <v>1.6486586255873816</v>
      </c>
      <c r="N59" s="15">
        <f t="shared" si="6"/>
        <v>0.69314718055994529</v>
      </c>
      <c r="O59" s="15">
        <f t="shared" si="7"/>
        <v>3.2188758248682006</v>
      </c>
      <c r="P59" s="5" t="s">
        <v>66</v>
      </c>
    </row>
    <row r="60" spans="1:16" ht="72" x14ac:dyDescent="0.3">
      <c r="A60">
        <v>59</v>
      </c>
      <c r="B60" t="s">
        <v>4</v>
      </c>
      <c r="C60" t="s">
        <v>5</v>
      </c>
      <c r="D60" s="1" t="s">
        <v>91</v>
      </c>
      <c r="E60">
        <v>126234</v>
      </c>
      <c r="F60" s="4">
        <v>15113</v>
      </c>
      <c r="G60">
        <v>1</v>
      </c>
      <c r="H60">
        <v>0</v>
      </c>
      <c r="I60">
        <v>0</v>
      </c>
      <c r="J60">
        <v>1</v>
      </c>
      <c r="K60">
        <v>4.7</v>
      </c>
      <c r="L60" s="15">
        <f t="shared" si="4"/>
        <v>9.6233105795701199</v>
      </c>
      <c r="M60" s="15">
        <f t="shared" si="5"/>
        <v>1.7404661748405046</v>
      </c>
      <c r="N60" s="15">
        <f t="shared" si="6"/>
        <v>0</v>
      </c>
      <c r="O60" s="15">
        <f t="shared" si="7"/>
        <v>0</v>
      </c>
      <c r="P60" s="5" t="s">
        <v>90</v>
      </c>
    </row>
    <row r="61" spans="1:16" ht="72" x14ac:dyDescent="0.3">
      <c r="A61">
        <v>60</v>
      </c>
      <c r="B61" t="s">
        <v>4</v>
      </c>
      <c r="C61" t="s">
        <v>5</v>
      </c>
      <c r="D61" s="1" t="s">
        <v>92</v>
      </c>
      <c r="E61">
        <v>126234</v>
      </c>
      <c r="F61" s="4">
        <v>13649</v>
      </c>
      <c r="G61">
        <v>2</v>
      </c>
      <c r="H61">
        <v>0</v>
      </c>
      <c r="I61">
        <v>0</v>
      </c>
      <c r="J61">
        <v>1</v>
      </c>
      <c r="K61">
        <v>4.8</v>
      </c>
      <c r="L61" s="15">
        <f t="shared" si="4"/>
        <v>9.5214215378561953</v>
      </c>
      <c r="M61" s="15">
        <f t="shared" si="5"/>
        <v>1.7578579175523736</v>
      </c>
      <c r="N61" s="15">
        <f t="shared" si="6"/>
        <v>0</v>
      </c>
      <c r="O61" s="15">
        <f t="shared" si="7"/>
        <v>0</v>
      </c>
      <c r="P61" s="5" t="s">
        <v>93</v>
      </c>
    </row>
    <row r="62" spans="1:16" ht="57.6" x14ac:dyDescent="0.3">
      <c r="A62">
        <v>61</v>
      </c>
      <c r="B62" t="s">
        <v>4</v>
      </c>
      <c r="C62" t="s">
        <v>5</v>
      </c>
      <c r="D62" s="1" t="s">
        <v>94</v>
      </c>
      <c r="E62">
        <v>126234</v>
      </c>
      <c r="F62" s="4">
        <v>14403</v>
      </c>
      <c r="G62">
        <v>2</v>
      </c>
      <c r="H62">
        <v>0</v>
      </c>
      <c r="I62">
        <v>0</v>
      </c>
      <c r="J62">
        <v>0</v>
      </c>
      <c r="K62">
        <v>0</v>
      </c>
      <c r="L62" s="15">
        <f t="shared" si="4"/>
        <v>9.5751917971990501</v>
      </c>
      <c r="M62" s="15">
        <f t="shared" si="5"/>
        <v>0</v>
      </c>
      <c r="N62" s="15">
        <f t="shared" si="6"/>
        <v>0</v>
      </c>
      <c r="O62" s="15">
        <f t="shared" si="7"/>
        <v>0</v>
      </c>
      <c r="P62" s="5" t="s">
        <v>95</v>
      </c>
    </row>
    <row r="63" spans="1:16" ht="86.4" x14ac:dyDescent="0.3">
      <c r="A63">
        <v>62</v>
      </c>
      <c r="B63" t="s">
        <v>4</v>
      </c>
      <c r="C63" t="s">
        <v>5</v>
      </c>
      <c r="D63" s="1" t="s">
        <v>96</v>
      </c>
      <c r="E63">
        <v>126234</v>
      </c>
      <c r="F63" s="4">
        <v>13433</v>
      </c>
      <c r="G63">
        <v>2</v>
      </c>
      <c r="H63">
        <v>0</v>
      </c>
      <c r="I63">
        <v>0</v>
      </c>
      <c r="J63">
        <v>1</v>
      </c>
      <c r="K63">
        <v>4.4000000000000004</v>
      </c>
      <c r="L63" s="15">
        <f t="shared" si="4"/>
        <v>9.5054696450630125</v>
      </c>
      <c r="M63" s="15">
        <f t="shared" si="5"/>
        <v>1.6863989535702288</v>
      </c>
      <c r="N63" s="15">
        <f t="shared" si="6"/>
        <v>0</v>
      </c>
      <c r="O63" s="15">
        <f t="shared" si="7"/>
        <v>0</v>
      </c>
      <c r="P63" s="5" t="s">
        <v>97</v>
      </c>
    </row>
    <row r="64" spans="1:16" ht="57.6" x14ac:dyDescent="0.3">
      <c r="A64">
        <v>63</v>
      </c>
      <c r="B64" t="s">
        <v>4</v>
      </c>
      <c r="C64" t="s">
        <v>5</v>
      </c>
      <c r="D64" s="1" t="s">
        <v>99</v>
      </c>
      <c r="E64">
        <v>126234</v>
      </c>
      <c r="F64" s="4">
        <v>14042</v>
      </c>
      <c r="G64">
        <v>1</v>
      </c>
      <c r="H64">
        <v>0</v>
      </c>
      <c r="I64">
        <v>0</v>
      </c>
      <c r="J64">
        <v>1</v>
      </c>
      <c r="K64">
        <v>4.7</v>
      </c>
      <c r="L64" s="15">
        <f t="shared" si="4"/>
        <v>9.5498081175771947</v>
      </c>
      <c r="M64" s="15">
        <f t="shared" si="5"/>
        <v>1.7404661748405046</v>
      </c>
      <c r="N64" s="15">
        <f t="shared" si="6"/>
        <v>0</v>
      </c>
      <c r="O64" s="15">
        <f t="shared" si="7"/>
        <v>0</v>
      </c>
      <c r="P64" s="5" t="s">
        <v>98</v>
      </c>
    </row>
    <row r="65" spans="1:16" ht="72" x14ac:dyDescent="0.3">
      <c r="A65">
        <v>64</v>
      </c>
      <c r="B65" t="s">
        <v>4</v>
      </c>
      <c r="C65" t="s">
        <v>5</v>
      </c>
      <c r="D65" s="1" t="s">
        <v>79</v>
      </c>
      <c r="E65">
        <v>126234</v>
      </c>
      <c r="F65" s="4">
        <v>12295</v>
      </c>
      <c r="G65">
        <v>2</v>
      </c>
      <c r="H65">
        <v>0</v>
      </c>
      <c r="I65">
        <v>0</v>
      </c>
      <c r="J65">
        <v>1</v>
      </c>
      <c r="K65">
        <v>4.9000000000000004</v>
      </c>
      <c r="L65" s="15">
        <f t="shared" si="4"/>
        <v>9.4169479546502934</v>
      </c>
      <c r="M65" s="15">
        <f t="shared" si="5"/>
        <v>1.7749523509116738</v>
      </c>
      <c r="N65" s="15">
        <f t="shared" si="6"/>
        <v>0</v>
      </c>
      <c r="O65" s="15">
        <f t="shared" si="7"/>
        <v>0</v>
      </c>
      <c r="P65" s="5" t="s">
        <v>80</v>
      </c>
    </row>
    <row r="66" spans="1:16" ht="100.8" x14ac:dyDescent="0.3">
      <c r="A66">
        <v>65</v>
      </c>
      <c r="B66" t="s">
        <v>4</v>
      </c>
      <c r="C66" t="s">
        <v>5</v>
      </c>
      <c r="D66" s="1" t="s">
        <v>101</v>
      </c>
      <c r="E66">
        <v>126234</v>
      </c>
      <c r="F66" s="4">
        <v>13065</v>
      </c>
      <c r="G66">
        <v>2</v>
      </c>
      <c r="H66">
        <v>1</v>
      </c>
      <c r="I66">
        <v>12</v>
      </c>
      <c r="J66">
        <v>1</v>
      </c>
      <c r="K66">
        <v>4.5</v>
      </c>
      <c r="L66" s="15">
        <f t="shared" si="4"/>
        <v>9.4776921779547134</v>
      </c>
      <c r="M66" s="15">
        <f t="shared" si="5"/>
        <v>1.7047480922384253</v>
      </c>
      <c r="N66" s="15">
        <f t="shared" si="6"/>
        <v>0.69314718055994529</v>
      </c>
      <c r="O66" s="15">
        <f t="shared" si="7"/>
        <v>2.5649493574615367</v>
      </c>
      <c r="P66" s="5" t="s">
        <v>100</v>
      </c>
    </row>
    <row r="67" spans="1:16" ht="100.8" x14ac:dyDescent="0.3">
      <c r="A67">
        <v>66</v>
      </c>
      <c r="B67" t="s">
        <v>4</v>
      </c>
      <c r="C67" t="s">
        <v>5</v>
      </c>
      <c r="D67" s="1" t="s">
        <v>103</v>
      </c>
      <c r="E67">
        <v>126234</v>
      </c>
      <c r="F67" s="4">
        <v>15869</v>
      </c>
      <c r="G67">
        <v>2</v>
      </c>
      <c r="H67">
        <v>1</v>
      </c>
      <c r="I67">
        <v>12</v>
      </c>
      <c r="J67">
        <v>1</v>
      </c>
      <c r="K67">
        <v>4.5</v>
      </c>
      <c r="L67" s="15">
        <f t="shared" ref="L67:L157" si="8">LN(F67)</f>
        <v>9.6721227995628425</v>
      </c>
      <c r="M67" s="15">
        <f t="shared" ref="M67:M157" si="9">LN(K67 + 1)</f>
        <v>1.7047480922384253</v>
      </c>
      <c r="N67" s="15">
        <f t="shared" ref="N67:N157" si="10">LN(H67 +1)</f>
        <v>0.69314718055994529</v>
      </c>
      <c r="O67" s="15">
        <f t="shared" ref="O67:O157" si="11">LN(I67 + 1)</f>
        <v>2.5649493574615367</v>
      </c>
      <c r="P67" s="5" t="s">
        <v>102</v>
      </c>
    </row>
    <row r="68" spans="1:16" ht="100.8" x14ac:dyDescent="0.3">
      <c r="A68">
        <v>67</v>
      </c>
      <c r="B68" t="s">
        <v>4</v>
      </c>
      <c r="C68" t="s">
        <v>5</v>
      </c>
      <c r="D68" s="1" t="s">
        <v>108</v>
      </c>
      <c r="E68">
        <v>126234</v>
      </c>
      <c r="F68" s="4">
        <v>16155</v>
      </c>
      <c r="G68">
        <v>2</v>
      </c>
      <c r="H68">
        <v>1</v>
      </c>
      <c r="I68">
        <v>12</v>
      </c>
      <c r="J68">
        <v>1</v>
      </c>
      <c r="K68">
        <v>4.5</v>
      </c>
      <c r="L68" s="15">
        <f t="shared" si="8"/>
        <v>9.6899848782585991</v>
      </c>
      <c r="M68" s="15">
        <f t="shared" si="9"/>
        <v>1.7047480922384253</v>
      </c>
      <c r="N68" s="15">
        <f t="shared" si="10"/>
        <v>0.69314718055994529</v>
      </c>
      <c r="O68" s="15">
        <f t="shared" si="11"/>
        <v>2.5649493574615367</v>
      </c>
      <c r="P68" s="5" t="s">
        <v>109</v>
      </c>
    </row>
    <row r="69" spans="1:16" ht="86.4" x14ac:dyDescent="0.3">
      <c r="A69">
        <v>68</v>
      </c>
      <c r="B69" t="s">
        <v>4</v>
      </c>
      <c r="C69" t="s">
        <v>5</v>
      </c>
      <c r="D69" s="1" t="s">
        <v>110</v>
      </c>
      <c r="E69">
        <v>126234</v>
      </c>
      <c r="F69" s="4">
        <v>15589</v>
      </c>
      <c r="G69">
        <v>2</v>
      </c>
      <c r="H69">
        <v>1</v>
      </c>
      <c r="I69">
        <v>12</v>
      </c>
      <c r="J69">
        <v>1</v>
      </c>
      <c r="K69">
        <v>4.7</v>
      </c>
      <c r="L69" s="15">
        <f t="shared" si="8"/>
        <v>9.6543208163126817</v>
      </c>
      <c r="M69" s="15">
        <f t="shared" si="9"/>
        <v>1.7404661748405046</v>
      </c>
      <c r="N69" s="15">
        <f t="shared" si="10"/>
        <v>0.69314718055994529</v>
      </c>
      <c r="O69" s="15">
        <f t="shared" si="11"/>
        <v>2.5649493574615367</v>
      </c>
      <c r="P69" s="5" t="s">
        <v>111</v>
      </c>
    </row>
    <row r="70" spans="1:16" ht="72" x14ac:dyDescent="0.3">
      <c r="A70">
        <v>69</v>
      </c>
      <c r="B70" t="s">
        <v>4</v>
      </c>
      <c r="C70" t="s">
        <v>5</v>
      </c>
      <c r="D70" s="1" t="s">
        <v>113</v>
      </c>
      <c r="E70">
        <v>126234</v>
      </c>
      <c r="F70" s="4">
        <v>12018</v>
      </c>
      <c r="G70">
        <v>2</v>
      </c>
      <c r="H70">
        <v>0</v>
      </c>
      <c r="I70">
        <v>0</v>
      </c>
      <c r="J70">
        <v>1</v>
      </c>
      <c r="K70">
        <v>4.9000000000000004</v>
      </c>
      <c r="L70" s="15">
        <f t="shared" si="8"/>
        <v>9.3941608048938736</v>
      </c>
      <c r="M70" s="15">
        <f t="shared" si="9"/>
        <v>1.7749523509116738</v>
      </c>
      <c r="N70" s="15">
        <f t="shared" si="10"/>
        <v>0</v>
      </c>
      <c r="O70" s="15">
        <f t="shared" si="11"/>
        <v>0</v>
      </c>
      <c r="P70" s="5" t="s">
        <v>112</v>
      </c>
    </row>
    <row r="71" spans="1:16" ht="57.6" x14ac:dyDescent="0.3">
      <c r="A71">
        <v>70</v>
      </c>
      <c r="B71" t="s">
        <v>4</v>
      </c>
      <c r="C71" t="s">
        <v>5</v>
      </c>
      <c r="D71" s="1" t="s">
        <v>114</v>
      </c>
      <c r="E71">
        <v>126234</v>
      </c>
      <c r="F71" s="4">
        <v>13110</v>
      </c>
      <c r="G71">
        <v>0</v>
      </c>
      <c r="H71">
        <v>0</v>
      </c>
      <c r="I71">
        <v>0</v>
      </c>
      <c r="J71">
        <v>1</v>
      </c>
      <c r="K71">
        <v>4.9000000000000004</v>
      </c>
      <c r="L71" s="15">
        <f t="shared" si="8"/>
        <v>9.4811305767577458</v>
      </c>
      <c r="M71" s="15">
        <f t="shared" si="9"/>
        <v>1.7749523509116738</v>
      </c>
      <c r="N71" s="15">
        <f t="shared" si="10"/>
        <v>0</v>
      </c>
      <c r="O71" s="15">
        <f t="shared" si="11"/>
        <v>0</v>
      </c>
      <c r="P71" s="5" t="s">
        <v>115</v>
      </c>
    </row>
    <row r="72" spans="1:16" ht="57.6" x14ac:dyDescent="0.3">
      <c r="A72">
        <v>71</v>
      </c>
      <c r="B72" t="s">
        <v>4</v>
      </c>
      <c r="C72" t="s">
        <v>5</v>
      </c>
      <c r="D72" s="1" t="s">
        <v>116</v>
      </c>
      <c r="E72">
        <v>126234</v>
      </c>
      <c r="F72" s="4">
        <v>11752</v>
      </c>
      <c r="G72">
        <v>1</v>
      </c>
      <c r="H72">
        <v>0</v>
      </c>
      <c r="I72">
        <v>0</v>
      </c>
      <c r="J72">
        <v>1</v>
      </c>
      <c r="K72">
        <v>4.2</v>
      </c>
      <c r="L72" s="15">
        <f t="shared" si="8"/>
        <v>9.3717787178537133</v>
      </c>
      <c r="M72" s="15">
        <f t="shared" si="9"/>
        <v>1.6486586255873816</v>
      </c>
      <c r="N72" s="15">
        <f t="shared" si="10"/>
        <v>0</v>
      </c>
      <c r="O72" s="15">
        <f t="shared" si="11"/>
        <v>0</v>
      </c>
      <c r="P72" s="5" t="s">
        <v>117</v>
      </c>
    </row>
    <row r="73" spans="1:16" ht="86.4" x14ac:dyDescent="0.3">
      <c r="A73">
        <v>72</v>
      </c>
      <c r="B73" t="s">
        <v>4</v>
      </c>
      <c r="C73" t="s">
        <v>5</v>
      </c>
      <c r="D73" s="1" t="s">
        <v>119</v>
      </c>
      <c r="E73">
        <v>126234</v>
      </c>
      <c r="F73" s="4">
        <v>14131</v>
      </c>
      <c r="G73">
        <v>2</v>
      </c>
      <c r="H73">
        <v>1</v>
      </c>
      <c r="I73">
        <v>12</v>
      </c>
      <c r="J73">
        <v>1</v>
      </c>
      <c r="K73">
        <v>4.7</v>
      </c>
      <c r="L73" s="15">
        <f t="shared" si="8"/>
        <v>9.556126244582746</v>
      </c>
      <c r="M73" s="15">
        <f t="shared" si="9"/>
        <v>1.7404661748405046</v>
      </c>
      <c r="N73" s="15">
        <f t="shared" si="10"/>
        <v>0.69314718055994529</v>
      </c>
      <c r="O73" s="15">
        <f t="shared" si="11"/>
        <v>2.5649493574615367</v>
      </c>
      <c r="P73" s="5" t="s">
        <v>118</v>
      </c>
    </row>
    <row r="74" spans="1:16" ht="72" x14ac:dyDescent="0.3">
      <c r="A74">
        <v>73</v>
      </c>
      <c r="B74" t="s">
        <v>4</v>
      </c>
      <c r="C74" t="s">
        <v>5</v>
      </c>
      <c r="D74" s="1" t="s">
        <v>120</v>
      </c>
      <c r="E74">
        <v>126234</v>
      </c>
      <c r="F74" s="4">
        <v>18384</v>
      </c>
      <c r="G74">
        <v>2</v>
      </c>
      <c r="H74">
        <v>1</v>
      </c>
      <c r="I74">
        <v>12</v>
      </c>
      <c r="J74">
        <v>1</v>
      </c>
      <c r="K74">
        <v>4.5</v>
      </c>
      <c r="L74" s="15">
        <f t="shared" si="8"/>
        <v>9.8192360000885373</v>
      </c>
      <c r="M74" s="15">
        <f t="shared" si="9"/>
        <v>1.7047480922384253</v>
      </c>
      <c r="N74" s="15">
        <f t="shared" si="10"/>
        <v>0.69314718055994529</v>
      </c>
      <c r="O74" s="15">
        <f t="shared" si="11"/>
        <v>2.5649493574615367</v>
      </c>
      <c r="P74" s="5" t="s">
        <v>121</v>
      </c>
    </row>
    <row r="75" spans="1:16" ht="100.8" x14ac:dyDescent="0.3">
      <c r="A75">
        <v>74</v>
      </c>
      <c r="B75" t="s">
        <v>4</v>
      </c>
      <c r="C75" t="s">
        <v>5</v>
      </c>
      <c r="D75" s="1" t="s">
        <v>122</v>
      </c>
      <c r="E75">
        <v>126234</v>
      </c>
      <c r="F75" s="4">
        <v>15208</v>
      </c>
      <c r="G75">
        <v>2</v>
      </c>
      <c r="H75">
        <v>1</v>
      </c>
      <c r="I75">
        <v>12</v>
      </c>
      <c r="J75">
        <v>1</v>
      </c>
      <c r="K75">
        <v>4.7</v>
      </c>
      <c r="L75" s="15">
        <f t="shared" si="8"/>
        <v>9.6295768841682658</v>
      </c>
      <c r="M75" s="15">
        <f t="shared" si="9"/>
        <v>1.7404661748405046</v>
      </c>
      <c r="N75" s="15">
        <f t="shared" si="10"/>
        <v>0.69314718055994529</v>
      </c>
      <c r="O75" s="15">
        <f t="shared" si="11"/>
        <v>2.5649493574615367</v>
      </c>
      <c r="P75" s="5" t="s">
        <v>123</v>
      </c>
    </row>
    <row r="76" spans="1:16" ht="72" x14ac:dyDescent="0.3">
      <c r="A76">
        <v>75</v>
      </c>
      <c r="B76" t="s">
        <v>4</v>
      </c>
      <c r="C76" t="s">
        <v>5</v>
      </c>
      <c r="D76" s="1" t="s">
        <v>125</v>
      </c>
      <c r="E76">
        <v>126234</v>
      </c>
      <c r="F76" s="4">
        <v>13096</v>
      </c>
      <c r="G76">
        <v>2</v>
      </c>
      <c r="H76">
        <v>1</v>
      </c>
      <c r="I76">
        <v>12</v>
      </c>
      <c r="J76">
        <v>1</v>
      </c>
      <c r="K76">
        <v>4.5999999999999996</v>
      </c>
      <c r="L76" s="15">
        <f t="shared" si="8"/>
        <v>9.4800621190509702</v>
      </c>
      <c r="M76" s="15">
        <f t="shared" si="9"/>
        <v>1.7227665977411035</v>
      </c>
      <c r="N76" s="15">
        <f t="shared" si="10"/>
        <v>0.69314718055994529</v>
      </c>
      <c r="O76" s="15">
        <f t="shared" si="11"/>
        <v>2.5649493574615367</v>
      </c>
      <c r="P76" s="5" t="s">
        <v>124</v>
      </c>
    </row>
    <row r="77" spans="1:16" ht="86.4" x14ac:dyDescent="0.3">
      <c r="A77">
        <v>76</v>
      </c>
      <c r="B77" t="s">
        <v>4</v>
      </c>
      <c r="C77" t="s">
        <v>5</v>
      </c>
      <c r="D77" s="1" t="s">
        <v>126</v>
      </c>
      <c r="E77">
        <v>126234</v>
      </c>
      <c r="F77" s="4">
        <v>12662</v>
      </c>
      <c r="G77">
        <v>2</v>
      </c>
      <c r="H77">
        <v>0</v>
      </c>
      <c r="I77">
        <v>0</v>
      </c>
      <c r="J77">
        <v>1</v>
      </c>
      <c r="K77">
        <v>5</v>
      </c>
      <c r="L77" s="15">
        <f t="shared" si="8"/>
        <v>9.4463606611040714</v>
      </c>
      <c r="M77" s="15">
        <f t="shared" si="9"/>
        <v>1.791759469228055</v>
      </c>
      <c r="N77" s="15">
        <f t="shared" si="10"/>
        <v>0</v>
      </c>
      <c r="O77" s="15">
        <f t="shared" si="11"/>
        <v>0</v>
      </c>
      <c r="P77" s="5" t="s">
        <v>127</v>
      </c>
    </row>
    <row r="78" spans="1:16" ht="72" x14ac:dyDescent="0.3">
      <c r="A78">
        <v>77</v>
      </c>
      <c r="B78" t="s">
        <v>4</v>
      </c>
      <c r="C78" t="s">
        <v>5</v>
      </c>
      <c r="D78" s="1" t="s">
        <v>129</v>
      </c>
      <c r="E78">
        <v>126234</v>
      </c>
      <c r="F78" s="4">
        <v>13445</v>
      </c>
      <c r="G78">
        <v>1</v>
      </c>
      <c r="H78">
        <v>0</v>
      </c>
      <c r="I78">
        <v>0</v>
      </c>
      <c r="J78">
        <v>1</v>
      </c>
      <c r="K78">
        <v>4.7</v>
      </c>
      <c r="L78" s="15">
        <f t="shared" si="8"/>
        <v>9.5063625687029649</v>
      </c>
      <c r="M78" s="15">
        <f t="shared" si="9"/>
        <v>1.7404661748405046</v>
      </c>
      <c r="N78" s="15">
        <f t="shared" si="10"/>
        <v>0</v>
      </c>
      <c r="O78" s="15">
        <f t="shared" si="11"/>
        <v>0</v>
      </c>
      <c r="P78" s="5" t="s">
        <v>128</v>
      </c>
    </row>
    <row r="79" spans="1:16" ht="72" x14ac:dyDescent="0.3">
      <c r="A79">
        <v>78</v>
      </c>
      <c r="B79" t="s">
        <v>4</v>
      </c>
      <c r="C79" t="s">
        <v>5</v>
      </c>
      <c r="D79" s="1" t="s">
        <v>130</v>
      </c>
      <c r="E79">
        <v>126234</v>
      </c>
      <c r="F79" s="4">
        <v>13411</v>
      </c>
      <c r="G79">
        <v>2</v>
      </c>
      <c r="H79">
        <v>0</v>
      </c>
      <c r="I79">
        <v>0</v>
      </c>
      <c r="J79">
        <v>1</v>
      </c>
      <c r="K79">
        <v>4.9000000000000004</v>
      </c>
      <c r="L79" s="15">
        <f t="shared" si="8"/>
        <v>9.5038305447109401</v>
      </c>
      <c r="M79" s="15">
        <f t="shared" si="9"/>
        <v>1.7749523509116738</v>
      </c>
      <c r="N79" s="15">
        <f t="shared" si="10"/>
        <v>0</v>
      </c>
      <c r="O79" s="15">
        <f t="shared" si="11"/>
        <v>0</v>
      </c>
      <c r="P79" s="5" t="s">
        <v>131</v>
      </c>
    </row>
    <row r="80" spans="1:16" ht="86.4" x14ac:dyDescent="0.3">
      <c r="A80">
        <v>79</v>
      </c>
      <c r="B80" t="s">
        <v>4</v>
      </c>
      <c r="C80" t="s">
        <v>5</v>
      </c>
      <c r="D80" s="1" t="s">
        <v>132</v>
      </c>
      <c r="E80">
        <v>126234</v>
      </c>
      <c r="F80" s="4">
        <v>15684</v>
      </c>
      <c r="G80">
        <v>2</v>
      </c>
      <c r="H80">
        <v>1</v>
      </c>
      <c r="I80">
        <v>12</v>
      </c>
      <c r="J80">
        <v>1</v>
      </c>
      <c r="K80">
        <v>4.5</v>
      </c>
      <c r="L80" s="15">
        <f t="shared" si="8"/>
        <v>9.6603963634122216</v>
      </c>
      <c r="M80" s="15">
        <f t="shared" si="9"/>
        <v>1.7047480922384253</v>
      </c>
      <c r="N80" s="15">
        <f t="shared" si="10"/>
        <v>0.69314718055994529</v>
      </c>
      <c r="O80" s="15">
        <f t="shared" si="11"/>
        <v>2.5649493574615367</v>
      </c>
      <c r="P80" s="5" t="s">
        <v>133</v>
      </c>
    </row>
    <row r="81" spans="1:16" ht="43.2" x14ac:dyDescent="0.3">
      <c r="A81">
        <v>80</v>
      </c>
      <c r="B81" t="s">
        <v>4</v>
      </c>
      <c r="C81" t="s">
        <v>5</v>
      </c>
      <c r="D81" s="1" t="s">
        <v>134</v>
      </c>
      <c r="E81">
        <v>126234</v>
      </c>
      <c r="F81" s="4">
        <v>14099</v>
      </c>
      <c r="G81">
        <v>2</v>
      </c>
      <c r="H81">
        <v>0</v>
      </c>
      <c r="I81">
        <v>0</v>
      </c>
      <c r="J81">
        <v>1</v>
      </c>
      <c r="K81">
        <v>4.5999999999999996</v>
      </c>
      <c r="L81" s="15">
        <f t="shared" si="8"/>
        <v>9.5538591518653604</v>
      </c>
      <c r="M81" s="15">
        <f t="shared" si="9"/>
        <v>1.7227665977411035</v>
      </c>
      <c r="N81" s="15">
        <f t="shared" si="10"/>
        <v>0</v>
      </c>
      <c r="O81" s="15">
        <f t="shared" si="11"/>
        <v>0</v>
      </c>
      <c r="P81" s="5" t="s">
        <v>135</v>
      </c>
    </row>
    <row r="82" spans="1:16" ht="86.4" x14ac:dyDescent="0.3">
      <c r="A82">
        <v>81</v>
      </c>
      <c r="B82" t="s">
        <v>4</v>
      </c>
      <c r="C82" t="s">
        <v>5</v>
      </c>
      <c r="D82" s="1" t="s">
        <v>136</v>
      </c>
      <c r="E82">
        <v>126234</v>
      </c>
      <c r="F82" s="4">
        <v>15789</v>
      </c>
      <c r="G82">
        <v>2</v>
      </c>
      <c r="H82">
        <v>1</v>
      </c>
      <c r="I82">
        <v>12</v>
      </c>
      <c r="J82">
        <v>1</v>
      </c>
      <c r="K82">
        <v>4.5</v>
      </c>
      <c r="L82" s="15">
        <f t="shared" si="8"/>
        <v>9.6670687740218888</v>
      </c>
      <c r="M82" s="15">
        <f t="shared" si="9"/>
        <v>1.7047480922384253</v>
      </c>
      <c r="N82" s="15">
        <f t="shared" si="10"/>
        <v>0.69314718055994529</v>
      </c>
      <c r="O82" s="15">
        <f t="shared" si="11"/>
        <v>2.5649493574615367</v>
      </c>
      <c r="P82" s="5" t="s">
        <v>137</v>
      </c>
    </row>
    <row r="83" spans="1:16" ht="72" x14ac:dyDescent="0.3">
      <c r="A83">
        <v>82</v>
      </c>
      <c r="B83" t="s">
        <v>4</v>
      </c>
      <c r="C83" t="s">
        <v>5</v>
      </c>
      <c r="D83" s="1" t="s">
        <v>139</v>
      </c>
      <c r="E83">
        <v>126234</v>
      </c>
      <c r="F83" s="4">
        <v>13376</v>
      </c>
      <c r="G83">
        <v>2</v>
      </c>
      <c r="H83">
        <v>0</v>
      </c>
      <c r="I83">
        <v>0</v>
      </c>
      <c r="J83">
        <v>1</v>
      </c>
      <c r="K83">
        <v>5</v>
      </c>
      <c r="L83" s="15">
        <f t="shared" si="8"/>
        <v>9.5012173353244833</v>
      </c>
      <c r="M83" s="15">
        <f t="shared" si="9"/>
        <v>1.791759469228055</v>
      </c>
      <c r="N83" s="15">
        <f t="shared" si="10"/>
        <v>0</v>
      </c>
      <c r="O83" s="15">
        <f t="shared" si="11"/>
        <v>0</v>
      </c>
      <c r="P83" s="5" t="s">
        <v>138</v>
      </c>
    </row>
    <row r="84" spans="1:16" ht="72" x14ac:dyDescent="0.3">
      <c r="A84">
        <v>83</v>
      </c>
      <c r="B84" t="s">
        <v>4</v>
      </c>
      <c r="C84" t="s">
        <v>5</v>
      </c>
      <c r="D84" s="1" t="s">
        <v>140</v>
      </c>
      <c r="E84">
        <v>126234</v>
      </c>
      <c r="F84" s="4">
        <v>17318</v>
      </c>
      <c r="G84">
        <v>2</v>
      </c>
      <c r="H84">
        <v>1</v>
      </c>
      <c r="I84">
        <v>12</v>
      </c>
      <c r="J84">
        <v>1</v>
      </c>
      <c r="K84">
        <v>4.5</v>
      </c>
      <c r="L84" s="15">
        <f t="shared" si="8"/>
        <v>9.7595017020077464</v>
      </c>
      <c r="M84" s="15">
        <f t="shared" si="9"/>
        <v>1.7047480922384253</v>
      </c>
      <c r="N84" s="15">
        <f t="shared" si="10"/>
        <v>0.69314718055994529</v>
      </c>
      <c r="O84" s="15">
        <f t="shared" si="11"/>
        <v>2.5649493574615367</v>
      </c>
      <c r="P84" s="5" t="s">
        <v>141</v>
      </c>
    </row>
    <row r="85" spans="1:16" ht="57.6" x14ac:dyDescent="0.3">
      <c r="A85">
        <v>84</v>
      </c>
      <c r="B85" t="s">
        <v>4</v>
      </c>
      <c r="C85" t="s">
        <v>5</v>
      </c>
      <c r="D85" s="1" t="s">
        <v>142</v>
      </c>
      <c r="E85">
        <v>126234</v>
      </c>
      <c r="F85" s="4">
        <v>13462</v>
      </c>
      <c r="G85">
        <v>2</v>
      </c>
      <c r="H85">
        <v>0</v>
      </c>
      <c r="I85">
        <v>0</v>
      </c>
      <c r="J85">
        <v>1</v>
      </c>
      <c r="K85">
        <v>5</v>
      </c>
      <c r="L85" s="15">
        <f t="shared" si="8"/>
        <v>9.507626180570659</v>
      </c>
      <c r="M85" s="15">
        <f t="shared" si="9"/>
        <v>1.791759469228055</v>
      </c>
      <c r="N85" s="15">
        <f t="shared" si="10"/>
        <v>0</v>
      </c>
      <c r="O85" s="15">
        <f t="shared" si="11"/>
        <v>0</v>
      </c>
      <c r="P85" s="5" t="s">
        <v>143</v>
      </c>
    </row>
    <row r="86" spans="1:16" ht="100.8" x14ac:dyDescent="0.3">
      <c r="A86">
        <v>85</v>
      </c>
      <c r="B86" t="s">
        <v>4</v>
      </c>
      <c r="C86" t="s">
        <v>5</v>
      </c>
      <c r="D86" s="1" t="s">
        <v>108</v>
      </c>
      <c r="E86">
        <v>126234</v>
      </c>
      <c r="F86" s="4">
        <v>16222</v>
      </c>
      <c r="G86">
        <v>2</v>
      </c>
      <c r="H86">
        <v>1</v>
      </c>
      <c r="I86">
        <v>12</v>
      </c>
      <c r="J86">
        <v>1</v>
      </c>
      <c r="K86">
        <v>4.5</v>
      </c>
      <c r="L86" s="15">
        <f t="shared" si="8"/>
        <v>9.69412362463029</v>
      </c>
      <c r="M86" s="15">
        <f t="shared" si="9"/>
        <v>1.7047480922384253</v>
      </c>
      <c r="N86" s="15">
        <f t="shared" si="10"/>
        <v>0.69314718055994529</v>
      </c>
      <c r="O86" s="15">
        <f t="shared" si="11"/>
        <v>2.5649493574615367</v>
      </c>
      <c r="P86" s="5" t="s">
        <v>109</v>
      </c>
    </row>
    <row r="87" spans="1:16" ht="43.2" x14ac:dyDescent="0.3">
      <c r="A87">
        <v>86</v>
      </c>
      <c r="B87" t="s">
        <v>4</v>
      </c>
      <c r="C87" t="s">
        <v>5</v>
      </c>
      <c r="D87" s="1" t="s">
        <v>144</v>
      </c>
      <c r="E87">
        <v>126234</v>
      </c>
      <c r="F87" s="4">
        <v>13026</v>
      </c>
      <c r="G87">
        <v>2</v>
      </c>
      <c r="H87">
        <v>0</v>
      </c>
      <c r="I87">
        <v>0</v>
      </c>
      <c r="J87">
        <v>1</v>
      </c>
      <c r="K87">
        <v>4.7</v>
      </c>
      <c r="L87" s="15">
        <f t="shared" si="8"/>
        <v>9.4747026391063471</v>
      </c>
      <c r="M87" s="15">
        <f t="shared" si="9"/>
        <v>1.7404661748405046</v>
      </c>
      <c r="N87" s="15">
        <f t="shared" si="10"/>
        <v>0</v>
      </c>
      <c r="O87" s="15">
        <f t="shared" si="11"/>
        <v>0</v>
      </c>
      <c r="P87" s="5" t="s">
        <v>145</v>
      </c>
    </row>
    <row r="88" spans="1:16" ht="43.2" x14ac:dyDescent="0.3">
      <c r="A88">
        <v>87</v>
      </c>
      <c r="B88" t="s">
        <v>4</v>
      </c>
      <c r="C88" t="s">
        <v>5</v>
      </c>
      <c r="D88" s="1" t="s">
        <v>134</v>
      </c>
      <c r="E88">
        <v>126234</v>
      </c>
      <c r="F88" s="4">
        <v>13879</v>
      </c>
      <c r="G88">
        <v>2</v>
      </c>
      <c r="H88">
        <v>0</v>
      </c>
      <c r="I88">
        <v>0</v>
      </c>
      <c r="J88">
        <v>1</v>
      </c>
      <c r="K88">
        <v>4.7</v>
      </c>
      <c r="L88" s="15">
        <f t="shared" si="8"/>
        <v>9.5381321853558401</v>
      </c>
      <c r="M88" s="15">
        <f t="shared" si="9"/>
        <v>1.7404661748405046</v>
      </c>
      <c r="N88" s="15">
        <f t="shared" si="10"/>
        <v>0</v>
      </c>
      <c r="O88" s="15">
        <f t="shared" si="11"/>
        <v>0</v>
      </c>
      <c r="P88" s="5" t="s">
        <v>146</v>
      </c>
    </row>
    <row r="89" spans="1:16" ht="43.2" x14ac:dyDescent="0.3">
      <c r="A89">
        <v>88</v>
      </c>
      <c r="B89" t="s">
        <v>4</v>
      </c>
      <c r="C89" t="s">
        <v>5</v>
      </c>
      <c r="D89" s="1" t="s">
        <v>148</v>
      </c>
      <c r="E89">
        <v>126234</v>
      </c>
      <c r="F89" s="4">
        <v>15005</v>
      </c>
      <c r="G89">
        <v>2</v>
      </c>
      <c r="H89">
        <v>1</v>
      </c>
      <c r="I89">
        <v>24</v>
      </c>
      <c r="J89">
        <v>1</v>
      </c>
      <c r="K89">
        <v>4.5</v>
      </c>
      <c r="L89" s="15">
        <f t="shared" si="8"/>
        <v>9.6161387578744684</v>
      </c>
      <c r="M89" s="15">
        <f t="shared" si="9"/>
        <v>1.7047480922384253</v>
      </c>
      <c r="N89" s="15">
        <f t="shared" si="10"/>
        <v>0.69314718055994529</v>
      </c>
      <c r="O89" s="15">
        <f t="shared" si="11"/>
        <v>3.2188758248682006</v>
      </c>
      <c r="P89" s="5" t="s">
        <v>147</v>
      </c>
    </row>
    <row r="90" spans="1:16" ht="57.6" x14ac:dyDescent="0.3">
      <c r="A90">
        <v>89</v>
      </c>
      <c r="B90" t="s">
        <v>4</v>
      </c>
      <c r="C90" t="s">
        <v>5</v>
      </c>
      <c r="D90" s="1" t="s">
        <v>150</v>
      </c>
      <c r="E90">
        <v>126234</v>
      </c>
      <c r="F90" s="4">
        <v>13983</v>
      </c>
      <c r="G90">
        <v>2</v>
      </c>
      <c r="H90">
        <v>1</v>
      </c>
      <c r="I90">
        <v>6</v>
      </c>
      <c r="J90">
        <v>1</v>
      </c>
      <c r="K90">
        <v>4.9000000000000004</v>
      </c>
      <c r="L90" s="15">
        <f t="shared" si="8"/>
        <v>9.5455975850408503</v>
      </c>
      <c r="M90" s="15">
        <f t="shared" si="9"/>
        <v>1.7749523509116738</v>
      </c>
      <c r="N90" s="15">
        <f t="shared" si="10"/>
        <v>0.69314718055994529</v>
      </c>
      <c r="O90" s="15">
        <f t="shared" si="11"/>
        <v>1.9459101490553132</v>
      </c>
      <c r="P90" s="5" t="s">
        <v>149</v>
      </c>
    </row>
    <row r="91" spans="1:16" ht="72" x14ac:dyDescent="0.3">
      <c r="A91">
        <v>90</v>
      </c>
      <c r="B91" t="s">
        <v>4</v>
      </c>
      <c r="C91" t="s">
        <v>5</v>
      </c>
      <c r="D91" s="1" t="s">
        <v>152</v>
      </c>
      <c r="E91">
        <v>126234</v>
      </c>
      <c r="F91" s="4">
        <v>12191</v>
      </c>
      <c r="G91">
        <v>2</v>
      </c>
      <c r="H91">
        <v>1</v>
      </c>
      <c r="I91">
        <v>12</v>
      </c>
      <c r="J91">
        <v>1</v>
      </c>
      <c r="K91">
        <v>4.9000000000000004</v>
      </c>
      <c r="L91" s="15">
        <f t="shared" si="8"/>
        <v>9.4084532535651455</v>
      </c>
      <c r="M91" s="15">
        <f t="shared" si="9"/>
        <v>1.7749523509116738</v>
      </c>
      <c r="N91" s="15">
        <f t="shared" si="10"/>
        <v>0.69314718055994529</v>
      </c>
      <c r="O91" s="15">
        <f t="shared" si="11"/>
        <v>2.5649493574615367</v>
      </c>
      <c r="P91" s="5" t="s">
        <v>151</v>
      </c>
    </row>
    <row r="92" spans="1:16" ht="43.2" x14ac:dyDescent="0.3">
      <c r="A92">
        <v>91</v>
      </c>
      <c r="B92" t="s">
        <v>4</v>
      </c>
      <c r="C92" t="s">
        <v>5</v>
      </c>
      <c r="D92" s="1">
        <v>126234</v>
      </c>
      <c r="E92">
        <v>126234</v>
      </c>
      <c r="F92" s="4">
        <v>13536</v>
      </c>
      <c r="G92">
        <v>2</v>
      </c>
      <c r="H92">
        <v>0</v>
      </c>
      <c r="I92">
        <v>0</v>
      </c>
      <c r="J92">
        <v>1</v>
      </c>
      <c r="K92">
        <v>4.9000000000000004</v>
      </c>
      <c r="L92" s="15">
        <f t="shared" si="8"/>
        <v>9.5131080818460045</v>
      </c>
      <c r="M92" s="15">
        <f t="shared" si="9"/>
        <v>1.7749523509116738</v>
      </c>
      <c r="N92" s="15">
        <f t="shared" si="10"/>
        <v>0</v>
      </c>
      <c r="O92" s="15">
        <f t="shared" si="11"/>
        <v>0</v>
      </c>
      <c r="P92" s="5" t="s">
        <v>153</v>
      </c>
    </row>
    <row r="93" spans="1:16" ht="43.2" x14ac:dyDescent="0.3">
      <c r="A93">
        <v>92</v>
      </c>
      <c r="B93" t="s">
        <v>4</v>
      </c>
      <c r="C93" t="s">
        <v>5</v>
      </c>
      <c r="D93" s="1">
        <v>126234</v>
      </c>
      <c r="E93">
        <v>126234</v>
      </c>
      <c r="F93" s="4">
        <v>12850</v>
      </c>
      <c r="G93">
        <v>1</v>
      </c>
      <c r="H93">
        <v>0</v>
      </c>
      <c r="I93">
        <v>0</v>
      </c>
      <c r="J93">
        <v>1</v>
      </c>
      <c r="K93">
        <v>4.7</v>
      </c>
      <c r="L93" s="15">
        <f t="shared" si="8"/>
        <v>9.4610990903233656</v>
      </c>
      <c r="M93" s="15">
        <f t="shared" si="9"/>
        <v>1.7404661748405046</v>
      </c>
      <c r="N93" s="15">
        <f t="shared" si="10"/>
        <v>0</v>
      </c>
      <c r="O93" s="15">
        <f t="shared" si="11"/>
        <v>0</v>
      </c>
      <c r="P93" s="5" t="s">
        <v>154</v>
      </c>
    </row>
    <row r="94" spans="1:16" ht="72" x14ac:dyDescent="0.3">
      <c r="A94">
        <v>93</v>
      </c>
      <c r="B94" t="s">
        <v>4</v>
      </c>
      <c r="C94" t="s">
        <v>5</v>
      </c>
      <c r="D94" s="1" t="s">
        <v>155</v>
      </c>
      <c r="E94">
        <v>126234</v>
      </c>
      <c r="F94" s="4">
        <v>10974</v>
      </c>
      <c r="G94">
        <v>2</v>
      </c>
      <c r="H94">
        <v>0</v>
      </c>
      <c r="I94">
        <v>0</v>
      </c>
      <c r="J94">
        <v>1</v>
      </c>
      <c r="K94">
        <v>4.9000000000000004</v>
      </c>
      <c r="L94" s="15">
        <f t="shared" si="8"/>
        <v>9.3032841176189205</v>
      </c>
      <c r="M94" s="15">
        <f t="shared" si="9"/>
        <v>1.7749523509116738</v>
      </c>
      <c r="N94" s="15">
        <f t="shared" si="10"/>
        <v>0</v>
      </c>
      <c r="O94" s="15">
        <f t="shared" si="11"/>
        <v>0</v>
      </c>
      <c r="P94" s="5" t="s">
        <v>156</v>
      </c>
    </row>
    <row r="95" spans="1:16" ht="72" x14ac:dyDescent="0.3">
      <c r="A95">
        <v>94</v>
      </c>
      <c r="B95" t="s">
        <v>4</v>
      </c>
      <c r="C95" t="s">
        <v>5</v>
      </c>
      <c r="D95" s="1" t="s">
        <v>157</v>
      </c>
      <c r="E95">
        <v>126234</v>
      </c>
      <c r="F95" s="4">
        <v>12785</v>
      </c>
      <c r="G95">
        <v>2</v>
      </c>
      <c r="H95">
        <v>1</v>
      </c>
      <c r="I95">
        <v>12</v>
      </c>
      <c r="J95">
        <v>1</v>
      </c>
      <c r="K95">
        <v>4.3</v>
      </c>
      <c r="L95" s="15">
        <f t="shared" si="8"/>
        <v>9.4560278877252877</v>
      </c>
      <c r="M95" s="15">
        <f t="shared" si="9"/>
        <v>1.6677068205580761</v>
      </c>
      <c r="N95" s="15">
        <f t="shared" si="10"/>
        <v>0.69314718055994529</v>
      </c>
      <c r="O95" s="15">
        <f t="shared" si="11"/>
        <v>2.5649493574615367</v>
      </c>
      <c r="P95" s="5" t="s">
        <v>158</v>
      </c>
    </row>
    <row r="96" spans="1:16" ht="72" x14ac:dyDescent="0.3">
      <c r="A96">
        <v>95</v>
      </c>
      <c r="B96" t="s">
        <v>4</v>
      </c>
      <c r="C96" t="s">
        <v>5</v>
      </c>
      <c r="D96" s="1" t="s">
        <v>159</v>
      </c>
      <c r="E96">
        <v>126234</v>
      </c>
      <c r="F96" s="4">
        <v>18563</v>
      </c>
      <c r="G96">
        <v>2</v>
      </c>
      <c r="H96">
        <v>1</v>
      </c>
      <c r="I96">
        <v>24</v>
      </c>
      <c r="J96">
        <v>1</v>
      </c>
      <c r="K96">
        <v>4.8</v>
      </c>
      <c r="L96" s="15">
        <f t="shared" si="8"/>
        <v>9.8289256312092235</v>
      </c>
      <c r="M96" s="15">
        <f t="shared" si="9"/>
        <v>1.7578579175523736</v>
      </c>
      <c r="N96" s="15">
        <f t="shared" si="10"/>
        <v>0.69314718055994529</v>
      </c>
      <c r="O96" s="15">
        <f t="shared" si="11"/>
        <v>3.2188758248682006</v>
      </c>
      <c r="P96" s="5" t="s">
        <v>105</v>
      </c>
    </row>
    <row r="97" spans="1:16" ht="72" x14ac:dyDescent="0.3">
      <c r="A97">
        <v>96</v>
      </c>
      <c r="B97" t="s">
        <v>4</v>
      </c>
      <c r="C97" t="s">
        <v>5</v>
      </c>
      <c r="D97" s="1" t="s">
        <v>160</v>
      </c>
      <c r="E97">
        <v>126234</v>
      </c>
      <c r="F97" s="4">
        <v>13708</v>
      </c>
      <c r="G97">
        <v>2</v>
      </c>
      <c r="H97">
        <v>1</v>
      </c>
      <c r="I97">
        <v>12</v>
      </c>
      <c r="J97">
        <v>1</v>
      </c>
      <c r="K97">
        <v>5</v>
      </c>
      <c r="L97" s="15">
        <f t="shared" si="8"/>
        <v>9.5257348829944988</v>
      </c>
      <c r="M97" s="15">
        <f t="shared" si="9"/>
        <v>1.791759469228055</v>
      </c>
      <c r="N97" s="15">
        <f t="shared" si="10"/>
        <v>0.69314718055994529</v>
      </c>
      <c r="O97" s="15">
        <f t="shared" si="11"/>
        <v>2.5649493574615367</v>
      </c>
      <c r="P97" s="5" t="s">
        <v>161</v>
      </c>
    </row>
    <row r="98" spans="1:16" ht="115.2" x14ac:dyDescent="0.3">
      <c r="A98">
        <v>97</v>
      </c>
      <c r="B98" t="s">
        <v>4</v>
      </c>
      <c r="C98" t="s">
        <v>5</v>
      </c>
      <c r="D98" s="1" t="s">
        <v>126</v>
      </c>
      <c r="E98">
        <v>126234</v>
      </c>
      <c r="F98" s="4">
        <v>12781</v>
      </c>
      <c r="G98">
        <v>2</v>
      </c>
      <c r="H98">
        <v>0</v>
      </c>
      <c r="I98">
        <v>0</v>
      </c>
      <c r="J98">
        <v>1</v>
      </c>
      <c r="K98">
        <v>5</v>
      </c>
      <c r="L98" s="15">
        <f t="shared" si="8"/>
        <v>9.4557149721317142</v>
      </c>
      <c r="M98" s="15">
        <f t="shared" si="9"/>
        <v>1.791759469228055</v>
      </c>
      <c r="N98" s="15">
        <f t="shared" si="10"/>
        <v>0</v>
      </c>
      <c r="O98" s="15">
        <f t="shared" si="11"/>
        <v>0</v>
      </c>
      <c r="P98" s="10" t="s">
        <v>162</v>
      </c>
    </row>
    <row r="99" spans="1:16" ht="43.2" x14ac:dyDescent="0.3">
      <c r="A99">
        <v>98</v>
      </c>
      <c r="B99" t="s">
        <v>4</v>
      </c>
      <c r="C99" t="s">
        <v>5</v>
      </c>
      <c r="D99" s="1">
        <v>126234</v>
      </c>
      <c r="E99">
        <v>126234</v>
      </c>
      <c r="F99" s="4">
        <v>14068</v>
      </c>
      <c r="G99">
        <v>2</v>
      </c>
      <c r="H99">
        <v>0</v>
      </c>
      <c r="I99">
        <v>0</v>
      </c>
      <c r="J99">
        <v>1</v>
      </c>
      <c r="K99">
        <v>4.2</v>
      </c>
      <c r="L99" s="15">
        <f t="shared" si="8"/>
        <v>9.5516579935938726</v>
      </c>
      <c r="M99" s="15">
        <f t="shared" si="9"/>
        <v>1.6486586255873816</v>
      </c>
      <c r="N99" s="15">
        <f t="shared" si="10"/>
        <v>0</v>
      </c>
      <c r="O99" s="15">
        <f t="shared" si="11"/>
        <v>0</v>
      </c>
      <c r="P99" s="5" t="s">
        <v>164</v>
      </c>
    </row>
    <row r="100" spans="1:16" ht="57.6" x14ac:dyDescent="0.3">
      <c r="A100">
        <v>99</v>
      </c>
      <c r="B100" t="s">
        <v>4</v>
      </c>
      <c r="C100" t="s">
        <v>5</v>
      </c>
      <c r="D100" s="1" t="s">
        <v>165</v>
      </c>
      <c r="E100">
        <v>126234</v>
      </c>
      <c r="F100" s="4">
        <v>12865</v>
      </c>
      <c r="G100">
        <v>2</v>
      </c>
      <c r="H100">
        <v>1</v>
      </c>
      <c r="I100">
        <v>12</v>
      </c>
      <c r="J100">
        <v>1</v>
      </c>
      <c r="K100">
        <v>4.5999999999999996</v>
      </c>
      <c r="L100" s="15">
        <f t="shared" si="8"/>
        <v>9.462265724715845</v>
      </c>
      <c r="M100" s="15">
        <f t="shared" si="9"/>
        <v>1.7227665977411035</v>
      </c>
      <c r="N100" s="15">
        <f t="shared" si="10"/>
        <v>0.69314718055994529</v>
      </c>
      <c r="O100" s="15">
        <f t="shared" si="11"/>
        <v>2.5649493574615367</v>
      </c>
      <c r="P100" s="5" t="s">
        <v>166</v>
      </c>
    </row>
    <row r="101" spans="1:16" ht="57.6" x14ac:dyDescent="0.3">
      <c r="A101">
        <v>100</v>
      </c>
      <c r="B101" t="s">
        <v>4</v>
      </c>
      <c r="C101" t="s">
        <v>5</v>
      </c>
      <c r="D101" s="1" t="s">
        <v>168</v>
      </c>
      <c r="E101">
        <v>126234</v>
      </c>
      <c r="F101" s="4">
        <v>12917</v>
      </c>
      <c r="G101">
        <v>2</v>
      </c>
      <c r="H101">
        <v>0</v>
      </c>
      <c r="I101">
        <v>0</v>
      </c>
      <c r="J101">
        <v>1</v>
      </c>
      <c r="K101">
        <v>5</v>
      </c>
      <c r="L101" s="15">
        <f t="shared" si="8"/>
        <v>9.4662995522320159</v>
      </c>
      <c r="M101" s="15">
        <f t="shared" si="9"/>
        <v>1.791759469228055</v>
      </c>
      <c r="N101" s="15">
        <f t="shared" si="10"/>
        <v>0</v>
      </c>
      <c r="O101" s="15">
        <f t="shared" si="11"/>
        <v>0</v>
      </c>
      <c r="P101" s="5" t="s">
        <v>167</v>
      </c>
    </row>
    <row r="102" spans="1:16" ht="43.2" x14ac:dyDescent="0.3">
      <c r="A102">
        <v>101</v>
      </c>
      <c r="B102" t="s">
        <v>4</v>
      </c>
      <c r="C102" t="s">
        <v>5</v>
      </c>
      <c r="D102" s="1" t="s">
        <v>169</v>
      </c>
      <c r="E102">
        <v>126234</v>
      </c>
      <c r="F102" s="4">
        <v>13439</v>
      </c>
      <c r="G102">
        <v>2</v>
      </c>
      <c r="H102">
        <v>0</v>
      </c>
      <c r="I102">
        <v>0</v>
      </c>
      <c r="J102">
        <v>0</v>
      </c>
      <c r="K102">
        <v>0</v>
      </c>
      <c r="L102" s="15">
        <f t="shared" si="8"/>
        <v>9.5059162065470648</v>
      </c>
      <c r="M102" s="15">
        <f t="shared" si="9"/>
        <v>0</v>
      </c>
      <c r="N102" s="15">
        <f t="shared" si="10"/>
        <v>0</v>
      </c>
      <c r="O102" s="15">
        <f t="shared" si="11"/>
        <v>0</v>
      </c>
      <c r="P102" s="5" t="s">
        <v>170</v>
      </c>
    </row>
    <row r="103" spans="1:16" ht="86.4" x14ac:dyDescent="0.3">
      <c r="A103">
        <v>102</v>
      </c>
      <c r="B103" t="s">
        <v>4</v>
      </c>
      <c r="C103" t="s">
        <v>5</v>
      </c>
      <c r="D103" s="1" t="s">
        <v>171</v>
      </c>
      <c r="E103">
        <v>126234</v>
      </c>
      <c r="F103" s="4">
        <v>13489</v>
      </c>
      <c r="G103">
        <v>2</v>
      </c>
      <c r="H103">
        <v>0</v>
      </c>
      <c r="I103">
        <v>0</v>
      </c>
      <c r="J103">
        <v>1</v>
      </c>
      <c r="K103">
        <v>4.9000000000000004</v>
      </c>
      <c r="L103" s="15">
        <f t="shared" si="8"/>
        <v>9.5096298174696798</v>
      </c>
      <c r="M103" s="15">
        <f t="shared" si="9"/>
        <v>1.7749523509116738</v>
      </c>
      <c r="N103" s="15">
        <f t="shared" si="10"/>
        <v>0</v>
      </c>
      <c r="O103" s="15">
        <f t="shared" si="11"/>
        <v>0</v>
      </c>
      <c r="P103" s="5" t="s">
        <v>172</v>
      </c>
    </row>
    <row r="104" spans="1:16" ht="86.4" x14ac:dyDescent="0.3">
      <c r="A104">
        <v>103</v>
      </c>
      <c r="B104" t="s">
        <v>4</v>
      </c>
      <c r="C104" t="s">
        <v>5</v>
      </c>
      <c r="D104" s="1" t="s">
        <v>173</v>
      </c>
      <c r="E104">
        <v>126234</v>
      </c>
      <c r="F104" s="4">
        <v>18904</v>
      </c>
      <c r="G104">
        <v>2</v>
      </c>
      <c r="H104">
        <v>1</v>
      </c>
      <c r="I104">
        <v>24</v>
      </c>
      <c r="J104">
        <v>1</v>
      </c>
      <c r="K104">
        <v>4.8</v>
      </c>
      <c r="L104" s="15">
        <f t="shared" si="8"/>
        <v>9.847128818866743</v>
      </c>
      <c r="M104" s="15">
        <f t="shared" si="9"/>
        <v>1.7578579175523736</v>
      </c>
      <c r="N104" s="15">
        <f t="shared" si="10"/>
        <v>0.69314718055994529</v>
      </c>
      <c r="O104" s="15">
        <f t="shared" si="11"/>
        <v>3.2188758248682006</v>
      </c>
      <c r="P104" s="5" t="s">
        <v>174</v>
      </c>
    </row>
    <row r="105" spans="1:16" ht="57.6" x14ac:dyDescent="0.3">
      <c r="A105">
        <v>104</v>
      </c>
      <c r="B105" t="s">
        <v>4</v>
      </c>
      <c r="C105" t="s">
        <v>5</v>
      </c>
      <c r="D105" s="1" t="s">
        <v>176</v>
      </c>
      <c r="E105">
        <v>126234</v>
      </c>
      <c r="F105" s="4">
        <v>12980</v>
      </c>
      <c r="G105">
        <v>1</v>
      </c>
      <c r="H105">
        <v>0</v>
      </c>
      <c r="I105">
        <v>0</v>
      </c>
      <c r="J105">
        <v>1</v>
      </c>
      <c r="K105">
        <v>4.9000000000000004</v>
      </c>
      <c r="L105" s="15">
        <f t="shared" si="8"/>
        <v>9.4711649902580817</v>
      </c>
      <c r="M105" s="15">
        <f t="shared" si="9"/>
        <v>1.7749523509116738</v>
      </c>
      <c r="N105" s="15">
        <f t="shared" si="10"/>
        <v>0</v>
      </c>
      <c r="O105" s="15">
        <f t="shared" si="11"/>
        <v>0</v>
      </c>
      <c r="P105" s="5" t="s">
        <v>177</v>
      </c>
    </row>
    <row r="106" spans="1:16" ht="72" x14ac:dyDescent="0.3">
      <c r="A106">
        <v>105</v>
      </c>
      <c r="B106" t="s">
        <v>4</v>
      </c>
      <c r="C106" t="s">
        <v>5</v>
      </c>
      <c r="D106" s="1" t="s">
        <v>179</v>
      </c>
      <c r="E106">
        <v>126234</v>
      </c>
      <c r="F106" s="4">
        <v>15756</v>
      </c>
      <c r="G106">
        <v>2</v>
      </c>
      <c r="H106">
        <v>0</v>
      </c>
      <c r="I106">
        <v>0</v>
      </c>
      <c r="J106">
        <v>1</v>
      </c>
      <c r="K106">
        <v>5</v>
      </c>
      <c r="L106" s="15">
        <f t="shared" si="8"/>
        <v>9.6649765240907968</v>
      </c>
      <c r="M106" s="15">
        <f t="shared" si="9"/>
        <v>1.791759469228055</v>
      </c>
      <c r="N106" s="15">
        <f t="shared" si="10"/>
        <v>0</v>
      </c>
      <c r="O106" s="15">
        <f t="shared" si="11"/>
        <v>0</v>
      </c>
      <c r="P106" s="5" t="s">
        <v>178</v>
      </c>
    </row>
    <row r="107" spans="1:16" ht="43.2" x14ac:dyDescent="0.3">
      <c r="A107">
        <v>106</v>
      </c>
      <c r="B107" t="s">
        <v>4</v>
      </c>
      <c r="C107" t="s">
        <v>5</v>
      </c>
      <c r="D107" s="1">
        <v>126234</v>
      </c>
      <c r="E107">
        <v>126234</v>
      </c>
      <c r="F107" s="4">
        <v>14808</v>
      </c>
      <c r="G107">
        <v>1</v>
      </c>
      <c r="H107">
        <v>0</v>
      </c>
      <c r="I107">
        <v>0</v>
      </c>
      <c r="J107">
        <v>1</v>
      </c>
      <c r="K107">
        <v>4.9000000000000004</v>
      </c>
      <c r="L107" s="15">
        <f t="shared" si="8"/>
        <v>9.6029228542533343</v>
      </c>
      <c r="M107" s="15">
        <f t="shared" si="9"/>
        <v>1.7749523509116738</v>
      </c>
      <c r="N107" s="15">
        <f t="shared" si="10"/>
        <v>0</v>
      </c>
      <c r="O107" s="15">
        <f t="shared" si="11"/>
        <v>0</v>
      </c>
      <c r="P107" s="5" t="s">
        <v>180</v>
      </c>
    </row>
    <row r="108" spans="1:16" ht="100.8" x14ac:dyDescent="0.3">
      <c r="A108">
        <v>107</v>
      </c>
      <c r="B108" t="s">
        <v>4</v>
      </c>
      <c r="C108" t="s">
        <v>5</v>
      </c>
      <c r="D108" s="1" t="s">
        <v>181</v>
      </c>
      <c r="E108">
        <v>126234</v>
      </c>
      <c r="F108" s="4">
        <v>14428</v>
      </c>
      <c r="G108">
        <v>2</v>
      </c>
      <c r="H108">
        <v>0</v>
      </c>
      <c r="I108">
        <v>0</v>
      </c>
      <c r="J108">
        <v>1</v>
      </c>
      <c r="K108">
        <v>4.9000000000000004</v>
      </c>
      <c r="L108" s="15">
        <f t="shared" si="8"/>
        <v>9.5769260420234303</v>
      </c>
      <c r="M108" s="15">
        <f t="shared" si="9"/>
        <v>1.7749523509116738</v>
      </c>
      <c r="N108" s="15">
        <f t="shared" si="10"/>
        <v>0</v>
      </c>
      <c r="O108" s="15">
        <f t="shared" si="11"/>
        <v>0</v>
      </c>
      <c r="P108" s="5" t="s">
        <v>182</v>
      </c>
    </row>
    <row r="109" spans="1:16" ht="43.2" x14ac:dyDescent="0.3">
      <c r="A109">
        <v>108</v>
      </c>
      <c r="B109" t="s">
        <v>4</v>
      </c>
      <c r="C109" t="s">
        <v>5</v>
      </c>
      <c r="D109" s="1">
        <v>126234</v>
      </c>
      <c r="E109">
        <v>126234</v>
      </c>
      <c r="F109" s="4">
        <v>12960</v>
      </c>
      <c r="G109">
        <v>0</v>
      </c>
      <c r="H109">
        <v>0</v>
      </c>
      <c r="I109">
        <v>0</v>
      </c>
      <c r="J109">
        <v>1</v>
      </c>
      <c r="K109">
        <v>4.9000000000000004</v>
      </c>
      <c r="L109" s="15">
        <f t="shared" si="8"/>
        <v>9.4696229699062648</v>
      </c>
      <c r="M109" s="15">
        <f t="shared" si="9"/>
        <v>1.7749523509116738</v>
      </c>
      <c r="N109" s="15">
        <f t="shared" si="10"/>
        <v>0</v>
      </c>
      <c r="O109" s="15">
        <f t="shared" si="11"/>
        <v>0</v>
      </c>
      <c r="P109" s="5" t="s">
        <v>183</v>
      </c>
    </row>
    <row r="110" spans="1:16" ht="72" x14ac:dyDescent="0.3">
      <c r="A110">
        <v>109</v>
      </c>
      <c r="B110" t="s">
        <v>4</v>
      </c>
      <c r="C110" t="s">
        <v>5</v>
      </c>
      <c r="D110" s="1" t="s">
        <v>185</v>
      </c>
      <c r="E110">
        <v>126234</v>
      </c>
      <c r="F110" s="4">
        <v>14147</v>
      </c>
      <c r="G110">
        <v>2</v>
      </c>
      <c r="H110">
        <v>1</v>
      </c>
      <c r="I110">
        <v>12</v>
      </c>
      <c r="J110">
        <v>1</v>
      </c>
      <c r="K110">
        <v>4.5</v>
      </c>
      <c r="L110" s="15">
        <f t="shared" si="8"/>
        <v>9.5572578664589347</v>
      </c>
      <c r="M110" s="15">
        <f t="shared" si="9"/>
        <v>1.7047480922384253</v>
      </c>
      <c r="N110" s="15">
        <f t="shared" si="10"/>
        <v>0.69314718055994529</v>
      </c>
      <c r="O110" s="15">
        <f t="shared" si="11"/>
        <v>2.5649493574615367</v>
      </c>
      <c r="P110" s="5" t="s">
        <v>184</v>
      </c>
    </row>
    <row r="111" spans="1:16" ht="57.6" x14ac:dyDescent="0.3">
      <c r="A111">
        <v>110</v>
      </c>
      <c r="B111" t="s">
        <v>4</v>
      </c>
      <c r="C111" t="s">
        <v>5</v>
      </c>
      <c r="D111" s="1" t="s">
        <v>187</v>
      </c>
      <c r="E111">
        <v>126234</v>
      </c>
      <c r="F111" s="4">
        <v>15769</v>
      </c>
      <c r="G111">
        <v>2</v>
      </c>
      <c r="H111">
        <v>0</v>
      </c>
      <c r="I111">
        <v>0</v>
      </c>
      <c r="J111">
        <v>1</v>
      </c>
      <c r="K111">
        <v>0</v>
      </c>
      <c r="L111" s="15">
        <f t="shared" si="8"/>
        <v>9.6658012664055875</v>
      </c>
      <c r="M111" s="15">
        <f t="shared" si="9"/>
        <v>0</v>
      </c>
      <c r="N111" s="15">
        <f t="shared" si="10"/>
        <v>0</v>
      </c>
      <c r="O111" s="15">
        <f t="shared" si="11"/>
        <v>0</v>
      </c>
      <c r="P111" s="5" t="s">
        <v>186</v>
      </c>
    </row>
    <row r="112" spans="1:16" ht="43.2" x14ac:dyDescent="0.3">
      <c r="A112">
        <v>111</v>
      </c>
      <c r="B112" t="s">
        <v>4</v>
      </c>
      <c r="C112" t="s">
        <v>5</v>
      </c>
      <c r="D112" s="1">
        <v>126234</v>
      </c>
      <c r="E112">
        <v>126234</v>
      </c>
      <c r="F112" s="4">
        <v>11936</v>
      </c>
      <c r="G112">
        <v>1</v>
      </c>
      <c r="H112">
        <v>0</v>
      </c>
      <c r="I112">
        <v>0</v>
      </c>
      <c r="J112">
        <v>1</v>
      </c>
      <c r="K112">
        <v>4.7</v>
      </c>
      <c r="L112" s="15">
        <f t="shared" si="8"/>
        <v>9.387314322443542</v>
      </c>
      <c r="M112" s="15">
        <f t="shared" si="9"/>
        <v>1.7404661748405046</v>
      </c>
      <c r="N112" s="15">
        <f t="shared" si="10"/>
        <v>0</v>
      </c>
      <c r="O112" s="15">
        <f t="shared" si="11"/>
        <v>0</v>
      </c>
      <c r="P112" s="5" t="s">
        <v>188</v>
      </c>
    </row>
    <row r="113" spans="1:16" ht="72" x14ac:dyDescent="0.3">
      <c r="A113">
        <v>112</v>
      </c>
      <c r="B113" t="s">
        <v>4</v>
      </c>
      <c r="C113" t="s">
        <v>5</v>
      </c>
      <c r="D113" s="1" t="s">
        <v>190</v>
      </c>
      <c r="E113">
        <v>126234</v>
      </c>
      <c r="F113" s="4">
        <v>13793</v>
      </c>
      <c r="G113">
        <v>2</v>
      </c>
      <c r="H113">
        <v>0</v>
      </c>
      <c r="I113">
        <v>0</v>
      </c>
      <c r="J113">
        <v>1</v>
      </c>
      <c r="K113">
        <v>4.9000000000000004</v>
      </c>
      <c r="L113" s="15">
        <f t="shared" si="8"/>
        <v>9.5319164960755192</v>
      </c>
      <c r="M113" s="15">
        <f t="shared" si="9"/>
        <v>1.7749523509116738</v>
      </c>
      <c r="N113" s="15">
        <f t="shared" si="10"/>
        <v>0</v>
      </c>
      <c r="O113" s="15">
        <f t="shared" si="11"/>
        <v>0</v>
      </c>
      <c r="P113" s="5" t="s">
        <v>189</v>
      </c>
    </row>
    <row r="114" spans="1:16" ht="57.6" x14ac:dyDescent="0.3">
      <c r="A114">
        <v>113</v>
      </c>
      <c r="B114" t="s">
        <v>4</v>
      </c>
      <c r="C114" t="s">
        <v>5</v>
      </c>
      <c r="D114" s="1" t="s">
        <v>191</v>
      </c>
      <c r="E114">
        <v>126234</v>
      </c>
      <c r="F114" s="4">
        <v>13747</v>
      </c>
      <c r="G114">
        <v>2</v>
      </c>
      <c r="H114">
        <v>0</v>
      </c>
      <c r="I114">
        <v>0</v>
      </c>
      <c r="J114">
        <v>1</v>
      </c>
      <c r="K114">
        <v>4.8</v>
      </c>
      <c r="L114" s="15">
        <f t="shared" si="8"/>
        <v>9.5285758974714199</v>
      </c>
      <c r="M114" s="15">
        <f t="shared" si="9"/>
        <v>1.7578579175523736</v>
      </c>
      <c r="N114" s="15">
        <f t="shared" si="10"/>
        <v>0</v>
      </c>
      <c r="O114" s="15">
        <f t="shared" si="11"/>
        <v>0</v>
      </c>
      <c r="P114" s="5" t="s">
        <v>192</v>
      </c>
    </row>
    <row r="115" spans="1:16" ht="43.2" x14ac:dyDescent="0.3">
      <c r="A115">
        <v>114</v>
      </c>
      <c r="B115" t="s">
        <v>4</v>
      </c>
      <c r="C115" t="s">
        <v>5</v>
      </c>
      <c r="D115" s="1">
        <v>126234</v>
      </c>
      <c r="E115">
        <v>126234</v>
      </c>
      <c r="F115" s="4">
        <v>14286</v>
      </c>
      <c r="G115">
        <v>2</v>
      </c>
      <c r="H115">
        <v>0</v>
      </c>
      <c r="I115">
        <v>0</v>
      </c>
      <c r="J115">
        <v>1</v>
      </c>
      <c r="K115">
        <v>5</v>
      </c>
      <c r="L115" s="15">
        <f t="shared" si="8"/>
        <v>9.5670353157149179</v>
      </c>
      <c r="M115" s="15">
        <f t="shared" si="9"/>
        <v>1.791759469228055</v>
      </c>
      <c r="N115" s="15">
        <f t="shared" si="10"/>
        <v>0</v>
      </c>
      <c r="O115" s="15">
        <f t="shared" si="11"/>
        <v>0</v>
      </c>
      <c r="P115" s="5" t="s">
        <v>193</v>
      </c>
    </row>
    <row r="116" spans="1:16" ht="43.2" x14ac:dyDescent="0.3">
      <c r="A116">
        <v>115</v>
      </c>
      <c r="B116" t="s">
        <v>4</v>
      </c>
      <c r="C116" t="s">
        <v>5</v>
      </c>
      <c r="D116" s="1" t="s">
        <v>194</v>
      </c>
      <c r="E116">
        <v>126234</v>
      </c>
      <c r="F116" s="4">
        <v>13520</v>
      </c>
      <c r="G116">
        <v>2</v>
      </c>
      <c r="H116">
        <v>0</v>
      </c>
      <c r="I116">
        <v>0</v>
      </c>
      <c r="J116">
        <v>1</v>
      </c>
      <c r="K116">
        <v>4.7</v>
      </c>
      <c r="L116" s="15">
        <f t="shared" si="8"/>
        <v>9.5119253495969556</v>
      </c>
      <c r="M116" s="15">
        <f t="shared" si="9"/>
        <v>1.7404661748405046</v>
      </c>
      <c r="N116" s="15">
        <f t="shared" si="10"/>
        <v>0</v>
      </c>
      <c r="O116" s="15">
        <f t="shared" si="11"/>
        <v>0</v>
      </c>
      <c r="P116" s="5" t="s">
        <v>195</v>
      </c>
    </row>
    <row r="117" spans="1:16" ht="43.2" x14ac:dyDescent="0.3">
      <c r="A117">
        <v>116</v>
      </c>
      <c r="B117" t="s">
        <v>4</v>
      </c>
      <c r="C117" t="s">
        <v>5</v>
      </c>
      <c r="D117" s="1">
        <v>126234</v>
      </c>
      <c r="E117">
        <v>126234</v>
      </c>
      <c r="F117" s="4">
        <v>14193</v>
      </c>
      <c r="G117">
        <v>2</v>
      </c>
      <c r="H117">
        <v>0</v>
      </c>
      <c r="I117">
        <v>0</v>
      </c>
      <c r="J117">
        <v>1</v>
      </c>
      <c r="K117">
        <v>4.0999999999999996</v>
      </c>
      <c r="L117" s="15">
        <f t="shared" si="8"/>
        <v>9.5605041642992585</v>
      </c>
      <c r="M117" s="15">
        <f t="shared" si="9"/>
        <v>1.62924053973028</v>
      </c>
      <c r="N117" s="15">
        <f t="shared" si="10"/>
        <v>0</v>
      </c>
      <c r="O117" s="15">
        <f t="shared" si="11"/>
        <v>0</v>
      </c>
      <c r="P117" s="5" t="s">
        <v>164</v>
      </c>
    </row>
    <row r="118" spans="1:16" ht="72" x14ac:dyDescent="0.3">
      <c r="A118">
        <v>117</v>
      </c>
      <c r="B118" t="s">
        <v>4</v>
      </c>
      <c r="C118" t="s">
        <v>5</v>
      </c>
      <c r="D118" s="1" t="s">
        <v>196</v>
      </c>
      <c r="E118">
        <v>126234</v>
      </c>
      <c r="F118" s="4">
        <v>15275</v>
      </c>
      <c r="G118">
        <v>2</v>
      </c>
      <c r="H118">
        <v>1</v>
      </c>
      <c r="I118">
        <v>12</v>
      </c>
      <c r="J118">
        <v>1</v>
      </c>
      <c r="K118">
        <v>4.9000000000000004</v>
      </c>
      <c r="L118" s="15">
        <f t="shared" si="8"/>
        <v>9.6339727840397966</v>
      </c>
      <c r="M118" s="15">
        <f t="shared" si="9"/>
        <v>1.7749523509116738</v>
      </c>
      <c r="N118" s="15">
        <f t="shared" si="10"/>
        <v>0.69314718055994529</v>
      </c>
      <c r="O118" s="15">
        <f t="shared" si="11"/>
        <v>2.5649493574615367</v>
      </c>
      <c r="P118" s="5" t="s">
        <v>197</v>
      </c>
    </row>
    <row r="119" spans="1:16" ht="43.2" x14ac:dyDescent="0.3">
      <c r="A119">
        <v>118</v>
      </c>
      <c r="B119" t="s">
        <v>4</v>
      </c>
      <c r="C119" t="s">
        <v>5</v>
      </c>
      <c r="D119" s="1">
        <v>126234</v>
      </c>
      <c r="E119">
        <v>126234</v>
      </c>
      <c r="F119" s="4">
        <v>13746</v>
      </c>
      <c r="G119">
        <v>2</v>
      </c>
      <c r="H119">
        <v>0</v>
      </c>
      <c r="I119">
        <v>0</v>
      </c>
      <c r="J119">
        <v>1</v>
      </c>
      <c r="K119">
        <v>4.9000000000000004</v>
      </c>
      <c r="L119" s="15">
        <f t="shared" si="8"/>
        <v>9.5285031516815497</v>
      </c>
      <c r="M119" s="15">
        <f t="shared" si="9"/>
        <v>1.7749523509116738</v>
      </c>
      <c r="N119" s="15">
        <f t="shared" si="10"/>
        <v>0</v>
      </c>
      <c r="O119" s="15">
        <f t="shared" si="11"/>
        <v>0</v>
      </c>
      <c r="P119" s="5" t="s">
        <v>198</v>
      </c>
    </row>
    <row r="120" spans="1:16" ht="86.4" x14ac:dyDescent="0.3">
      <c r="A120">
        <v>119</v>
      </c>
      <c r="B120" t="s">
        <v>4</v>
      </c>
      <c r="C120" t="s">
        <v>5</v>
      </c>
      <c r="D120" s="1" t="s">
        <v>199</v>
      </c>
      <c r="E120">
        <v>126234</v>
      </c>
      <c r="F120" s="4">
        <v>20093</v>
      </c>
      <c r="G120">
        <v>2</v>
      </c>
      <c r="H120">
        <v>1</v>
      </c>
      <c r="I120">
        <v>12</v>
      </c>
      <c r="J120">
        <v>1</v>
      </c>
      <c r="K120">
        <v>4.8</v>
      </c>
      <c r="L120" s="15">
        <f t="shared" si="8"/>
        <v>9.9081267746845523</v>
      </c>
      <c r="M120" s="15">
        <f t="shared" si="9"/>
        <v>1.7578579175523736</v>
      </c>
      <c r="N120" s="15">
        <f t="shared" si="10"/>
        <v>0.69314718055994529</v>
      </c>
      <c r="O120" s="15">
        <f t="shared" si="11"/>
        <v>2.5649493574615367</v>
      </c>
      <c r="P120" s="5" t="s">
        <v>200</v>
      </c>
    </row>
    <row r="121" spans="1:16" ht="72" x14ac:dyDescent="0.3">
      <c r="A121">
        <v>120</v>
      </c>
      <c r="B121" t="s">
        <v>4</v>
      </c>
      <c r="C121" t="s">
        <v>5</v>
      </c>
      <c r="D121" s="1" t="s">
        <v>201</v>
      </c>
      <c r="E121">
        <v>126234</v>
      </c>
      <c r="F121" s="4">
        <v>11011</v>
      </c>
      <c r="G121">
        <v>2</v>
      </c>
      <c r="H121">
        <v>0</v>
      </c>
      <c r="I121">
        <v>0</v>
      </c>
      <c r="J121">
        <v>1</v>
      </c>
      <c r="K121">
        <v>4.9000000000000004</v>
      </c>
      <c r="L121" s="15">
        <f t="shared" si="8"/>
        <v>9.3066500521135911</v>
      </c>
      <c r="M121" s="15">
        <f t="shared" si="9"/>
        <v>1.7749523509116738</v>
      </c>
      <c r="N121" s="15">
        <f t="shared" si="10"/>
        <v>0</v>
      </c>
      <c r="O121" s="15">
        <f t="shared" si="11"/>
        <v>0</v>
      </c>
      <c r="P121" s="5" t="s">
        <v>202</v>
      </c>
    </row>
    <row r="122" spans="1:16" ht="43.2" x14ac:dyDescent="0.3">
      <c r="A122">
        <v>121</v>
      </c>
      <c r="B122" t="s">
        <v>4</v>
      </c>
      <c r="C122" t="s">
        <v>5</v>
      </c>
      <c r="D122" s="1" t="s">
        <v>207</v>
      </c>
      <c r="E122">
        <v>126234</v>
      </c>
      <c r="F122" s="4">
        <v>12828</v>
      </c>
      <c r="G122">
        <v>2</v>
      </c>
      <c r="H122">
        <v>0</v>
      </c>
      <c r="I122">
        <v>0</v>
      </c>
      <c r="J122">
        <v>0</v>
      </c>
      <c r="K122">
        <v>0</v>
      </c>
      <c r="L122" s="16">
        <f t="shared" si="8"/>
        <v>9.459385560813045</v>
      </c>
      <c r="M122" s="16">
        <f t="shared" si="9"/>
        <v>0</v>
      </c>
      <c r="N122" s="16">
        <f t="shared" si="10"/>
        <v>0</v>
      </c>
      <c r="O122" s="15">
        <f t="shared" si="11"/>
        <v>0</v>
      </c>
      <c r="P122" s="5" t="s">
        <v>208</v>
      </c>
    </row>
    <row r="123" spans="1:16" ht="43.2" x14ac:dyDescent="0.3">
      <c r="A123">
        <v>122</v>
      </c>
      <c r="B123" t="s">
        <v>4</v>
      </c>
      <c r="C123" t="s">
        <v>5</v>
      </c>
      <c r="D123" s="1" t="s">
        <v>209</v>
      </c>
      <c r="E123">
        <v>126234</v>
      </c>
      <c r="F123" s="4">
        <v>13230</v>
      </c>
      <c r="G123">
        <v>2</v>
      </c>
      <c r="H123">
        <v>0</v>
      </c>
      <c r="I123">
        <v>0</v>
      </c>
      <c r="J123">
        <v>0</v>
      </c>
      <c r="K123">
        <v>0</v>
      </c>
      <c r="L123" s="16">
        <f t="shared" si="8"/>
        <v>9.490242257109001</v>
      </c>
      <c r="M123" s="16">
        <f t="shared" si="9"/>
        <v>0</v>
      </c>
      <c r="N123" s="16">
        <f t="shared" si="10"/>
        <v>0</v>
      </c>
      <c r="O123" s="15">
        <f t="shared" si="11"/>
        <v>0</v>
      </c>
      <c r="P123" s="5" t="s">
        <v>210</v>
      </c>
    </row>
    <row r="124" spans="1:16" ht="43.2" x14ac:dyDescent="0.3">
      <c r="A124">
        <v>123</v>
      </c>
      <c r="B124" t="s">
        <v>4</v>
      </c>
      <c r="C124" t="s">
        <v>5</v>
      </c>
      <c r="D124" s="1" t="s">
        <v>211</v>
      </c>
      <c r="E124">
        <v>126234</v>
      </c>
      <c r="F124" s="4">
        <v>12889</v>
      </c>
      <c r="G124">
        <v>2</v>
      </c>
      <c r="H124">
        <v>0</v>
      </c>
      <c r="I124">
        <v>0</v>
      </c>
      <c r="J124">
        <v>1</v>
      </c>
      <c r="K124">
        <v>4.8</v>
      </c>
      <c r="L124" s="16">
        <f t="shared" si="8"/>
        <v>9.4641295134047798</v>
      </c>
      <c r="M124" s="16">
        <f t="shared" si="9"/>
        <v>1.7578579175523736</v>
      </c>
      <c r="N124" s="16">
        <f t="shared" si="10"/>
        <v>0</v>
      </c>
      <c r="O124" s="15">
        <f t="shared" si="11"/>
        <v>0</v>
      </c>
      <c r="P124" s="5" t="s">
        <v>212</v>
      </c>
    </row>
    <row r="125" spans="1:16" ht="86.4" x14ac:dyDescent="0.3">
      <c r="A125">
        <v>124</v>
      </c>
      <c r="B125" t="s">
        <v>4</v>
      </c>
      <c r="C125" t="s">
        <v>5</v>
      </c>
      <c r="D125" s="1" t="s">
        <v>213</v>
      </c>
      <c r="E125">
        <v>126234</v>
      </c>
      <c r="F125" s="4">
        <v>11952</v>
      </c>
      <c r="G125">
        <v>2</v>
      </c>
      <c r="H125">
        <v>0</v>
      </c>
      <c r="I125">
        <v>0</v>
      </c>
      <c r="J125">
        <v>1</v>
      </c>
      <c r="K125">
        <v>4.9000000000000004</v>
      </c>
      <c r="L125" s="16">
        <f t="shared" si="8"/>
        <v>9.3886539073725981</v>
      </c>
      <c r="M125" s="16">
        <f t="shared" si="9"/>
        <v>1.7749523509116738</v>
      </c>
      <c r="N125" s="16">
        <f t="shared" si="10"/>
        <v>0</v>
      </c>
      <c r="O125" s="16">
        <f t="shared" si="11"/>
        <v>0</v>
      </c>
      <c r="P125" s="5" t="s">
        <v>214</v>
      </c>
    </row>
    <row r="126" spans="1:16" ht="72" x14ac:dyDescent="0.3">
      <c r="A126">
        <v>125</v>
      </c>
      <c r="B126" t="s">
        <v>4</v>
      </c>
      <c r="C126" t="s">
        <v>5</v>
      </c>
      <c r="D126" s="1" t="s">
        <v>215</v>
      </c>
      <c r="E126">
        <v>126234</v>
      </c>
      <c r="F126" s="4">
        <v>13040</v>
      </c>
      <c r="G126">
        <v>2</v>
      </c>
      <c r="H126">
        <v>0</v>
      </c>
      <c r="I126">
        <v>0</v>
      </c>
      <c r="J126">
        <v>1</v>
      </c>
      <c r="K126">
        <v>4.9000000000000004</v>
      </c>
      <c r="L126" s="16">
        <f t="shared" si="8"/>
        <v>9.4757768354806444</v>
      </c>
      <c r="M126" s="16">
        <f t="shared" si="9"/>
        <v>1.7749523509116738</v>
      </c>
      <c r="N126" s="16">
        <f t="shared" si="10"/>
        <v>0</v>
      </c>
      <c r="O126" s="16">
        <f t="shared" si="11"/>
        <v>0</v>
      </c>
      <c r="P126" s="5" t="s">
        <v>216</v>
      </c>
    </row>
    <row r="127" spans="1:16" ht="86.4" x14ac:dyDescent="0.3">
      <c r="A127">
        <v>126</v>
      </c>
      <c r="B127" t="s">
        <v>4</v>
      </c>
      <c r="C127" t="s">
        <v>5</v>
      </c>
      <c r="D127" s="1" t="s">
        <v>217</v>
      </c>
      <c r="E127">
        <v>126234</v>
      </c>
      <c r="F127" s="4">
        <v>15128</v>
      </c>
      <c r="G127">
        <v>2</v>
      </c>
      <c r="H127">
        <v>1</v>
      </c>
      <c r="I127">
        <v>12</v>
      </c>
      <c r="J127">
        <v>1</v>
      </c>
      <c r="K127">
        <v>4.4000000000000004</v>
      </c>
      <c r="L127" s="16">
        <f t="shared" si="8"/>
        <v>9.6243026103382938</v>
      </c>
      <c r="M127" s="16">
        <f t="shared" si="9"/>
        <v>1.6863989535702288</v>
      </c>
      <c r="N127" s="16">
        <f t="shared" si="10"/>
        <v>0.69314718055994529</v>
      </c>
      <c r="O127" s="16">
        <f t="shared" si="11"/>
        <v>2.5649493574615367</v>
      </c>
      <c r="P127" s="5" t="s">
        <v>218</v>
      </c>
    </row>
    <row r="128" spans="1:16" ht="43.2" x14ac:dyDescent="0.3">
      <c r="A128">
        <v>127</v>
      </c>
      <c r="B128" t="s">
        <v>4</v>
      </c>
      <c r="C128" t="s">
        <v>5</v>
      </c>
      <c r="D128" s="1">
        <v>126234</v>
      </c>
      <c r="E128">
        <v>126234</v>
      </c>
      <c r="F128" s="4">
        <v>13918</v>
      </c>
      <c r="G128">
        <v>1</v>
      </c>
      <c r="H128">
        <v>0</v>
      </c>
      <c r="I128">
        <v>0</v>
      </c>
      <c r="J128">
        <v>1</v>
      </c>
      <c r="K128">
        <v>4.9000000000000004</v>
      </c>
      <c r="L128" s="16">
        <f t="shared" si="8"/>
        <v>9.5409382454047957</v>
      </c>
      <c r="M128" s="16">
        <f t="shared" si="9"/>
        <v>1.7749523509116738</v>
      </c>
      <c r="N128" s="16">
        <f t="shared" si="10"/>
        <v>0</v>
      </c>
      <c r="O128" s="16">
        <f t="shared" si="11"/>
        <v>0</v>
      </c>
      <c r="P128" s="5" t="s">
        <v>219</v>
      </c>
    </row>
    <row r="129" spans="1:16" ht="57.6" x14ac:dyDescent="0.3">
      <c r="A129">
        <v>128</v>
      </c>
      <c r="B129" t="s">
        <v>4</v>
      </c>
      <c r="C129" t="s">
        <v>5</v>
      </c>
      <c r="D129" s="1" t="s">
        <v>220</v>
      </c>
      <c r="E129">
        <v>126234</v>
      </c>
      <c r="F129" s="4">
        <v>12571</v>
      </c>
      <c r="G129">
        <v>2</v>
      </c>
      <c r="H129">
        <v>0</v>
      </c>
      <c r="I129">
        <v>0</v>
      </c>
      <c r="J129">
        <v>1</v>
      </c>
      <c r="K129">
        <v>4.8</v>
      </c>
      <c r="L129" s="16">
        <f t="shared" si="8"/>
        <v>9.4391478529148305</v>
      </c>
      <c r="M129" s="16">
        <f t="shared" si="9"/>
        <v>1.7578579175523736</v>
      </c>
      <c r="N129" s="16">
        <f t="shared" si="10"/>
        <v>0</v>
      </c>
      <c r="O129" s="16">
        <f t="shared" si="11"/>
        <v>0</v>
      </c>
      <c r="P129" s="5" t="s">
        <v>221</v>
      </c>
    </row>
    <row r="130" spans="1:16" ht="57.6" x14ac:dyDescent="0.3">
      <c r="A130">
        <v>129</v>
      </c>
      <c r="B130" t="s">
        <v>4</v>
      </c>
      <c r="C130" t="s">
        <v>5</v>
      </c>
      <c r="D130" s="1" t="s">
        <v>222</v>
      </c>
      <c r="E130">
        <v>126234</v>
      </c>
      <c r="F130" s="4">
        <v>14375</v>
      </c>
      <c r="G130">
        <v>2</v>
      </c>
      <c r="H130">
        <v>1</v>
      </c>
      <c r="I130">
        <v>12</v>
      </c>
      <c r="J130">
        <v>1</v>
      </c>
      <c r="K130">
        <v>4.3</v>
      </c>
      <c r="L130" s="16">
        <f t="shared" si="8"/>
        <v>9.5732458656655517</v>
      </c>
      <c r="M130" s="16">
        <f t="shared" si="9"/>
        <v>1.6677068205580761</v>
      </c>
      <c r="N130" s="16">
        <f t="shared" si="10"/>
        <v>0.69314718055994529</v>
      </c>
      <c r="O130" s="16">
        <f t="shared" si="11"/>
        <v>2.5649493574615367</v>
      </c>
      <c r="P130" s="5" t="s">
        <v>223</v>
      </c>
    </row>
    <row r="131" spans="1:16" ht="72" x14ac:dyDescent="0.3">
      <c r="A131">
        <v>130</v>
      </c>
      <c r="B131" t="s">
        <v>4</v>
      </c>
      <c r="C131" t="s">
        <v>5</v>
      </c>
      <c r="D131" s="1" t="s">
        <v>224</v>
      </c>
      <c r="E131">
        <v>126234</v>
      </c>
      <c r="F131" s="4">
        <v>13812</v>
      </c>
      <c r="G131">
        <v>1</v>
      </c>
      <c r="H131">
        <v>0</v>
      </c>
      <c r="I131">
        <v>0</v>
      </c>
      <c r="J131">
        <v>1</v>
      </c>
      <c r="K131">
        <v>4.5999999999999996</v>
      </c>
      <c r="L131" s="16">
        <f t="shared" si="8"/>
        <v>9.5332930585098836</v>
      </c>
      <c r="M131" s="16">
        <f t="shared" si="9"/>
        <v>1.7227665977411035</v>
      </c>
      <c r="N131" s="16">
        <f t="shared" si="10"/>
        <v>0</v>
      </c>
      <c r="O131" s="16">
        <f t="shared" si="11"/>
        <v>0</v>
      </c>
      <c r="P131" s="5" t="s">
        <v>225</v>
      </c>
    </row>
    <row r="132" spans="1:16" ht="72" x14ac:dyDescent="0.3">
      <c r="A132">
        <v>131</v>
      </c>
      <c r="B132" t="s">
        <v>4</v>
      </c>
      <c r="C132" t="s">
        <v>5</v>
      </c>
      <c r="D132" s="1" t="s">
        <v>226</v>
      </c>
      <c r="E132">
        <v>126234</v>
      </c>
      <c r="F132" s="4">
        <v>10529</v>
      </c>
      <c r="G132">
        <v>2</v>
      </c>
      <c r="H132">
        <v>0</v>
      </c>
      <c r="I132">
        <v>0</v>
      </c>
      <c r="J132">
        <v>1</v>
      </c>
      <c r="K132">
        <v>4.9000000000000004</v>
      </c>
      <c r="L132" s="16">
        <f t="shared" si="8"/>
        <v>9.2618886338567599</v>
      </c>
      <c r="M132" s="16">
        <f t="shared" si="9"/>
        <v>1.7749523509116738</v>
      </c>
      <c r="N132" s="16">
        <f t="shared" si="10"/>
        <v>0</v>
      </c>
      <c r="O132" s="16">
        <f t="shared" si="11"/>
        <v>0</v>
      </c>
      <c r="P132" s="5" t="s">
        <v>227</v>
      </c>
    </row>
    <row r="133" spans="1:16" ht="72" x14ac:dyDescent="0.3">
      <c r="A133">
        <v>132</v>
      </c>
      <c r="B133" t="s">
        <v>4</v>
      </c>
      <c r="C133" t="s">
        <v>5</v>
      </c>
      <c r="D133" s="1" t="s">
        <v>228</v>
      </c>
      <c r="E133">
        <v>126234</v>
      </c>
      <c r="F133" s="4">
        <v>11995</v>
      </c>
      <c r="G133">
        <v>2</v>
      </c>
      <c r="H133">
        <v>0</v>
      </c>
      <c r="I133">
        <v>0</v>
      </c>
      <c r="J133">
        <v>1</v>
      </c>
      <c r="K133">
        <v>5</v>
      </c>
      <c r="L133" s="16">
        <f t="shared" si="8"/>
        <v>9.3922451752737945</v>
      </c>
      <c r="M133" s="16">
        <f t="shared" si="9"/>
        <v>1.791759469228055</v>
      </c>
      <c r="N133" s="16">
        <f t="shared" si="10"/>
        <v>0</v>
      </c>
      <c r="O133" s="16">
        <f t="shared" si="11"/>
        <v>0</v>
      </c>
      <c r="P133" s="5" t="s">
        <v>229</v>
      </c>
    </row>
    <row r="134" spans="1:16" ht="72" x14ac:dyDescent="0.3">
      <c r="A134">
        <v>133</v>
      </c>
      <c r="B134" t="s">
        <v>4</v>
      </c>
      <c r="C134" t="s">
        <v>5</v>
      </c>
      <c r="D134" s="1" t="s">
        <v>230</v>
      </c>
      <c r="E134">
        <v>126234</v>
      </c>
      <c r="F134" s="4">
        <v>10785</v>
      </c>
      <c r="G134">
        <v>1</v>
      </c>
      <c r="H134">
        <v>0</v>
      </c>
      <c r="I134">
        <v>0</v>
      </c>
      <c r="J134">
        <v>1</v>
      </c>
      <c r="K134">
        <v>4.8</v>
      </c>
      <c r="L134" s="16">
        <f t="shared" si="8"/>
        <v>9.2859115588232566</v>
      </c>
      <c r="M134" s="16">
        <f t="shared" si="9"/>
        <v>1.7578579175523736</v>
      </c>
      <c r="N134" s="16">
        <f t="shared" si="10"/>
        <v>0</v>
      </c>
      <c r="O134" s="16">
        <f t="shared" si="11"/>
        <v>0</v>
      </c>
      <c r="P134" s="5" t="s">
        <v>231</v>
      </c>
    </row>
    <row r="135" spans="1:16" ht="86.4" x14ac:dyDescent="0.3">
      <c r="A135">
        <v>134</v>
      </c>
      <c r="B135" t="s">
        <v>4</v>
      </c>
      <c r="C135" t="s">
        <v>5</v>
      </c>
      <c r="D135" s="1" t="s">
        <v>232</v>
      </c>
      <c r="E135">
        <v>126234</v>
      </c>
      <c r="F135" s="4">
        <v>12995</v>
      </c>
      <c r="G135">
        <v>2</v>
      </c>
      <c r="H135">
        <v>0</v>
      </c>
      <c r="I135">
        <v>0</v>
      </c>
      <c r="J135">
        <v>1</v>
      </c>
      <c r="K135">
        <v>5</v>
      </c>
      <c r="L135" s="16">
        <f t="shared" si="8"/>
        <v>9.4723199470755901</v>
      </c>
      <c r="M135" s="16">
        <f t="shared" si="9"/>
        <v>1.791759469228055</v>
      </c>
      <c r="N135" s="16">
        <f t="shared" si="10"/>
        <v>0</v>
      </c>
      <c r="O135" s="16">
        <f t="shared" si="11"/>
        <v>0</v>
      </c>
      <c r="P135" s="5" t="s">
        <v>233</v>
      </c>
    </row>
    <row r="136" spans="1:16" ht="43.2" x14ac:dyDescent="0.3">
      <c r="A136">
        <v>135</v>
      </c>
      <c r="B136" t="s">
        <v>4</v>
      </c>
      <c r="C136" t="s">
        <v>5</v>
      </c>
      <c r="D136" s="1" t="s">
        <v>234</v>
      </c>
      <c r="E136">
        <v>126234</v>
      </c>
      <c r="F136" s="4">
        <v>11592</v>
      </c>
      <c r="G136">
        <v>2</v>
      </c>
      <c r="H136">
        <v>0</v>
      </c>
      <c r="I136">
        <v>0</v>
      </c>
      <c r="J136">
        <v>1</v>
      </c>
      <c r="K136">
        <v>4.5</v>
      </c>
      <c r="L136" s="16">
        <f t="shared" si="8"/>
        <v>9.3580704840005176</v>
      </c>
      <c r="M136" s="16">
        <f t="shared" si="9"/>
        <v>1.7047480922384253</v>
      </c>
      <c r="N136" s="16">
        <f t="shared" si="10"/>
        <v>0</v>
      </c>
      <c r="O136" s="16">
        <f t="shared" si="11"/>
        <v>0</v>
      </c>
      <c r="P136" s="5" t="s">
        <v>235</v>
      </c>
    </row>
    <row r="137" spans="1:16" ht="57.6" x14ac:dyDescent="0.3">
      <c r="A137">
        <v>136</v>
      </c>
      <c r="B137" t="s">
        <v>4</v>
      </c>
      <c r="C137" t="s">
        <v>5</v>
      </c>
      <c r="D137" s="1" t="s">
        <v>236</v>
      </c>
      <c r="E137">
        <v>126234</v>
      </c>
      <c r="F137" s="4">
        <v>8774</v>
      </c>
      <c r="G137">
        <v>2</v>
      </c>
      <c r="H137">
        <v>0</v>
      </c>
      <c r="I137">
        <v>0</v>
      </c>
      <c r="J137">
        <v>1</v>
      </c>
      <c r="K137">
        <v>4.8</v>
      </c>
      <c r="L137" s="16">
        <f t="shared" si="8"/>
        <v>9.0795480817261591</v>
      </c>
      <c r="M137" s="16">
        <f t="shared" si="9"/>
        <v>1.7578579175523736</v>
      </c>
      <c r="N137" s="16">
        <f t="shared" si="10"/>
        <v>0</v>
      </c>
      <c r="O137" s="16">
        <f t="shared" si="11"/>
        <v>0</v>
      </c>
      <c r="P137" s="5" t="s">
        <v>237</v>
      </c>
    </row>
    <row r="138" spans="1:16" ht="43.2" x14ac:dyDescent="0.3">
      <c r="A138">
        <v>137</v>
      </c>
      <c r="B138" t="s">
        <v>4</v>
      </c>
      <c r="C138" t="s">
        <v>5</v>
      </c>
      <c r="D138" s="1" t="s">
        <v>238</v>
      </c>
      <c r="E138">
        <v>126234</v>
      </c>
      <c r="F138" s="4">
        <v>13237</v>
      </c>
      <c r="G138">
        <v>2</v>
      </c>
      <c r="H138">
        <v>0</v>
      </c>
      <c r="I138">
        <v>0</v>
      </c>
      <c r="J138">
        <v>1</v>
      </c>
      <c r="K138">
        <v>4.8</v>
      </c>
      <c r="L138" s="16">
        <f t="shared" si="8"/>
        <v>9.4907712177137711</v>
      </c>
      <c r="M138" s="16">
        <f t="shared" si="9"/>
        <v>1.7578579175523736</v>
      </c>
      <c r="N138" s="16">
        <f t="shared" si="10"/>
        <v>0</v>
      </c>
      <c r="O138" s="16">
        <f t="shared" si="11"/>
        <v>0</v>
      </c>
      <c r="P138" s="5" t="s">
        <v>239</v>
      </c>
    </row>
    <row r="139" spans="1:16" ht="72" x14ac:dyDescent="0.3">
      <c r="A139">
        <v>138</v>
      </c>
      <c r="B139" t="s">
        <v>4</v>
      </c>
      <c r="C139" t="s">
        <v>5</v>
      </c>
      <c r="D139" s="1" t="s">
        <v>240</v>
      </c>
      <c r="E139">
        <v>126234</v>
      </c>
      <c r="F139" s="4">
        <v>15118</v>
      </c>
      <c r="G139">
        <v>2</v>
      </c>
      <c r="H139">
        <v>1</v>
      </c>
      <c r="I139">
        <v>12</v>
      </c>
      <c r="J139">
        <v>1</v>
      </c>
      <c r="K139">
        <v>4.8</v>
      </c>
      <c r="L139" s="16">
        <f t="shared" si="8"/>
        <v>9.6236413658521212</v>
      </c>
      <c r="M139" s="16">
        <f t="shared" si="9"/>
        <v>1.7578579175523736</v>
      </c>
      <c r="N139" s="16">
        <f t="shared" si="10"/>
        <v>0.69314718055994529</v>
      </c>
      <c r="O139" s="16">
        <f t="shared" si="11"/>
        <v>2.5649493574615367</v>
      </c>
      <c r="P139" s="5" t="s">
        <v>241</v>
      </c>
    </row>
    <row r="140" spans="1:16" ht="72" x14ac:dyDescent="0.3">
      <c r="A140">
        <v>139</v>
      </c>
      <c r="B140" t="s">
        <v>4</v>
      </c>
      <c r="C140" t="s">
        <v>5</v>
      </c>
      <c r="D140" s="1" t="s">
        <v>242</v>
      </c>
      <c r="E140">
        <v>126234</v>
      </c>
      <c r="F140" s="4">
        <v>15059</v>
      </c>
      <c r="G140">
        <v>2</v>
      </c>
      <c r="H140">
        <v>1</v>
      </c>
      <c r="I140">
        <v>12</v>
      </c>
      <c r="J140">
        <v>1</v>
      </c>
      <c r="K140">
        <v>4.9000000000000004</v>
      </c>
      <c r="L140" s="16">
        <f t="shared" si="8"/>
        <v>9.6197310980868203</v>
      </c>
      <c r="M140" s="16">
        <f t="shared" si="9"/>
        <v>1.7749523509116738</v>
      </c>
      <c r="N140" s="16">
        <f t="shared" si="10"/>
        <v>0.69314718055994529</v>
      </c>
      <c r="O140" s="16">
        <f t="shared" si="11"/>
        <v>2.5649493574615367</v>
      </c>
      <c r="P140" s="5" t="s">
        <v>243</v>
      </c>
    </row>
    <row r="141" spans="1:16" ht="57.6" x14ac:dyDescent="0.3">
      <c r="A141">
        <v>140</v>
      </c>
      <c r="B141" t="s">
        <v>4</v>
      </c>
      <c r="C141" t="s">
        <v>5</v>
      </c>
      <c r="D141" s="1" t="s">
        <v>244</v>
      </c>
      <c r="E141">
        <v>126234</v>
      </c>
      <c r="F141" s="4">
        <v>12565</v>
      </c>
      <c r="G141">
        <v>1</v>
      </c>
      <c r="H141">
        <v>0</v>
      </c>
      <c r="I141">
        <v>0</v>
      </c>
      <c r="J141">
        <v>1</v>
      </c>
      <c r="K141">
        <v>4.9000000000000004</v>
      </c>
      <c r="L141" s="16">
        <f t="shared" si="8"/>
        <v>9.4386704499776926</v>
      </c>
      <c r="M141" s="16">
        <f t="shared" si="9"/>
        <v>1.7749523509116738</v>
      </c>
      <c r="N141" s="16">
        <f t="shared" si="10"/>
        <v>0</v>
      </c>
      <c r="O141" s="16">
        <f t="shared" si="11"/>
        <v>0</v>
      </c>
      <c r="P141" s="5" t="s">
        <v>245</v>
      </c>
    </row>
    <row r="142" spans="1:16" ht="57.6" x14ac:dyDescent="0.3">
      <c r="A142">
        <v>141</v>
      </c>
      <c r="B142" t="s">
        <v>4</v>
      </c>
      <c r="C142" t="s">
        <v>5</v>
      </c>
      <c r="D142" s="1" t="s">
        <v>246</v>
      </c>
      <c r="E142">
        <v>126234</v>
      </c>
      <c r="F142" s="4">
        <v>11558</v>
      </c>
      <c r="G142">
        <v>1</v>
      </c>
      <c r="H142">
        <v>0</v>
      </c>
      <c r="I142">
        <v>0</v>
      </c>
      <c r="J142">
        <v>1</v>
      </c>
      <c r="K142">
        <v>5</v>
      </c>
      <c r="L142" s="16">
        <f t="shared" si="8"/>
        <v>9.3551331168777239</v>
      </c>
      <c r="M142" s="16">
        <f t="shared" si="9"/>
        <v>1.791759469228055</v>
      </c>
      <c r="N142" s="16">
        <f t="shared" si="10"/>
        <v>0</v>
      </c>
      <c r="O142" s="16">
        <f t="shared" si="11"/>
        <v>0</v>
      </c>
      <c r="P142" s="5" t="s">
        <v>247</v>
      </c>
    </row>
    <row r="143" spans="1:16" ht="72" x14ac:dyDescent="0.3">
      <c r="A143">
        <v>142</v>
      </c>
      <c r="B143" t="s">
        <v>4</v>
      </c>
      <c r="C143" t="s">
        <v>5</v>
      </c>
      <c r="D143" s="1" t="s">
        <v>248</v>
      </c>
      <c r="E143">
        <v>126234</v>
      </c>
      <c r="F143" s="4">
        <v>14816</v>
      </c>
      <c r="G143">
        <v>2</v>
      </c>
      <c r="H143">
        <v>1</v>
      </c>
      <c r="I143">
        <v>12</v>
      </c>
      <c r="J143">
        <v>1</v>
      </c>
      <c r="K143">
        <v>4.4000000000000004</v>
      </c>
      <c r="L143" s="16">
        <f t="shared" si="8"/>
        <v>9.6034629568859611</v>
      </c>
      <c r="M143" s="16">
        <f t="shared" si="9"/>
        <v>1.6863989535702288</v>
      </c>
      <c r="N143" s="16">
        <f t="shared" si="10"/>
        <v>0.69314718055994529</v>
      </c>
      <c r="O143" s="16">
        <f t="shared" si="11"/>
        <v>2.5649493574615367</v>
      </c>
      <c r="P143" s="5" t="s">
        <v>249</v>
      </c>
    </row>
    <row r="144" spans="1:16" ht="43.2" x14ac:dyDescent="0.3">
      <c r="A144">
        <v>143</v>
      </c>
      <c r="B144" t="s">
        <v>4</v>
      </c>
      <c r="C144" t="s">
        <v>5</v>
      </c>
      <c r="D144" s="1" t="s">
        <v>250</v>
      </c>
      <c r="E144">
        <v>126234</v>
      </c>
      <c r="F144" s="4">
        <v>10936</v>
      </c>
      <c r="G144">
        <v>1</v>
      </c>
      <c r="H144">
        <v>0</v>
      </c>
      <c r="I144">
        <v>0</v>
      </c>
      <c r="J144">
        <v>1</v>
      </c>
      <c r="K144">
        <v>5</v>
      </c>
      <c r="L144" s="16">
        <f t="shared" si="8"/>
        <v>9.2998153784037854</v>
      </c>
      <c r="M144" s="16">
        <f t="shared" si="9"/>
        <v>1.791759469228055</v>
      </c>
      <c r="N144" s="16">
        <f t="shared" si="10"/>
        <v>0</v>
      </c>
      <c r="O144" s="16">
        <f t="shared" si="11"/>
        <v>0</v>
      </c>
      <c r="P144" s="5" t="s">
        <v>251</v>
      </c>
    </row>
    <row r="145" spans="1:16" ht="57.6" x14ac:dyDescent="0.3">
      <c r="A145">
        <v>144</v>
      </c>
      <c r="B145" t="s">
        <v>4</v>
      </c>
      <c r="C145" t="s">
        <v>5</v>
      </c>
      <c r="D145" s="1" t="s">
        <v>252</v>
      </c>
      <c r="E145">
        <v>126234</v>
      </c>
      <c r="F145" s="4">
        <v>15118</v>
      </c>
      <c r="G145">
        <v>2</v>
      </c>
      <c r="H145">
        <v>1</v>
      </c>
      <c r="I145">
        <v>12</v>
      </c>
      <c r="J145">
        <v>1</v>
      </c>
      <c r="K145">
        <v>4.8</v>
      </c>
      <c r="L145" s="16">
        <f t="shared" si="8"/>
        <v>9.6236413658521212</v>
      </c>
      <c r="M145" s="16">
        <f t="shared" si="9"/>
        <v>1.7578579175523736</v>
      </c>
      <c r="N145" s="16">
        <f t="shared" si="10"/>
        <v>0.69314718055994529</v>
      </c>
      <c r="O145" s="16">
        <f t="shared" si="11"/>
        <v>2.5649493574615367</v>
      </c>
      <c r="P145" s="5" t="s">
        <v>253</v>
      </c>
    </row>
    <row r="146" spans="1:16" ht="129.6" x14ac:dyDescent="0.3">
      <c r="A146">
        <v>145</v>
      </c>
      <c r="B146" t="s">
        <v>4</v>
      </c>
      <c r="C146" t="s">
        <v>5</v>
      </c>
      <c r="D146" s="1" t="s">
        <v>254</v>
      </c>
      <c r="E146">
        <v>126234</v>
      </c>
      <c r="F146" s="4">
        <v>17418</v>
      </c>
      <c r="G146">
        <v>2</v>
      </c>
      <c r="H146">
        <v>1</v>
      </c>
      <c r="I146">
        <v>12</v>
      </c>
      <c r="J146">
        <v>1</v>
      </c>
      <c r="K146">
        <v>5</v>
      </c>
      <c r="L146" s="16">
        <f t="shared" si="8"/>
        <v>9.7652594332526856</v>
      </c>
      <c r="M146" s="16">
        <f t="shared" si="9"/>
        <v>1.791759469228055</v>
      </c>
      <c r="N146" s="16">
        <f t="shared" si="10"/>
        <v>0.69314718055994529</v>
      </c>
      <c r="O146" s="16">
        <f t="shared" si="11"/>
        <v>2.5649493574615367</v>
      </c>
      <c r="P146" s="5" t="s">
        <v>255</v>
      </c>
    </row>
    <row r="147" spans="1:16" ht="43.2" x14ac:dyDescent="0.3">
      <c r="A147">
        <v>146</v>
      </c>
      <c r="B147" t="s">
        <v>4</v>
      </c>
      <c r="C147" t="s">
        <v>5</v>
      </c>
      <c r="D147" s="1" t="s">
        <v>256</v>
      </c>
      <c r="E147">
        <v>126234</v>
      </c>
      <c r="F147" s="4">
        <v>16325</v>
      </c>
      <c r="G147">
        <v>2</v>
      </c>
      <c r="H147">
        <v>1</v>
      </c>
      <c r="I147">
        <v>18</v>
      </c>
      <c r="J147">
        <v>1</v>
      </c>
      <c r="K147">
        <v>4.7</v>
      </c>
      <c r="L147" s="16">
        <f t="shared" si="8"/>
        <v>9.700452954144632</v>
      </c>
      <c r="M147" s="16">
        <f t="shared" si="9"/>
        <v>1.7404661748405046</v>
      </c>
      <c r="N147" s="16">
        <f t="shared" si="10"/>
        <v>0.69314718055994529</v>
      </c>
      <c r="O147" s="16">
        <f t="shared" si="11"/>
        <v>2.9444389791664403</v>
      </c>
      <c r="P147" s="5" t="s">
        <v>257</v>
      </c>
    </row>
    <row r="148" spans="1:16" ht="72" x14ac:dyDescent="0.3">
      <c r="A148">
        <v>147</v>
      </c>
      <c r="B148" t="s">
        <v>4</v>
      </c>
      <c r="C148" t="s">
        <v>5</v>
      </c>
      <c r="D148" s="1" t="s">
        <v>258</v>
      </c>
      <c r="E148">
        <v>126234</v>
      </c>
      <c r="F148" s="4">
        <v>12495</v>
      </c>
      <c r="G148">
        <v>2</v>
      </c>
      <c r="H148">
        <v>0</v>
      </c>
      <c r="I148">
        <v>0</v>
      </c>
      <c r="J148">
        <v>1</v>
      </c>
      <c r="K148">
        <v>5</v>
      </c>
      <c r="L148" s="16">
        <f t="shared" si="8"/>
        <v>9.4330838432690527</v>
      </c>
      <c r="M148" s="16">
        <f t="shared" si="9"/>
        <v>1.791759469228055</v>
      </c>
      <c r="N148" s="16">
        <f t="shared" si="10"/>
        <v>0</v>
      </c>
      <c r="O148" s="16">
        <f t="shared" si="11"/>
        <v>0</v>
      </c>
      <c r="P148" s="5" t="s">
        <v>259</v>
      </c>
    </row>
    <row r="149" spans="1:16" ht="43.2" x14ac:dyDescent="0.3">
      <c r="A149">
        <v>148</v>
      </c>
      <c r="B149" t="s">
        <v>4</v>
      </c>
      <c r="C149" t="s">
        <v>5</v>
      </c>
      <c r="D149" s="1" t="s">
        <v>260</v>
      </c>
      <c r="E149">
        <v>126234</v>
      </c>
      <c r="F149" s="4">
        <v>9474</v>
      </c>
      <c r="G149">
        <v>2</v>
      </c>
      <c r="H149">
        <v>0</v>
      </c>
      <c r="I149">
        <v>0</v>
      </c>
      <c r="J149">
        <v>1</v>
      </c>
      <c r="K149">
        <v>4.3</v>
      </c>
      <c r="L149" s="16">
        <f t="shared" si="8"/>
        <v>9.1563064834836965</v>
      </c>
      <c r="M149" s="16">
        <f t="shared" si="9"/>
        <v>1.6677068205580761</v>
      </c>
      <c r="N149" s="16">
        <f t="shared" si="10"/>
        <v>0</v>
      </c>
      <c r="O149" s="16">
        <f t="shared" si="11"/>
        <v>0</v>
      </c>
      <c r="P149" s="5" t="s">
        <v>261</v>
      </c>
    </row>
    <row r="150" spans="1:16" ht="72" x14ac:dyDescent="0.3">
      <c r="A150">
        <v>149</v>
      </c>
      <c r="B150" t="s">
        <v>4</v>
      </c>
      <c r="C150" t="s">
        <v>5</v>
      </c>
      <c r="D150" s="1" t="s">
        <v>262</v>
      </c>
      <c r="E150">
        <v>126234</v>
      </c>
      <c r="F150" s="4">
        <v>13482</v>
      </c>
      <c r="G150">
        <v>2</v>
      </c>
      <c r="H150">
        <v>0</v>
      </c>
      <c r="I150">
        <v>0</v>
      </c>
      <c r="J150">
        <v>1</v>
      </c>
      <c r="K150">
        <v>4.8</v>
      </c>
      <c r="L150" s="16">
        <f t="shared" si="8"/>
        <v>9.5091107414133837</v>
      </c>
      <c r="M150" s="16">
        <f t="shared" si="9"/>
        <v>1.7578579175523736</v>
      </c>
      <c r="N150" s="16">
        <f t="shared" si="10"/>
        <v>0</v>
      </c>
      <c r="O150" s="16">
        <f t="shared" si="11"/>
        <v>0</v>
      </c>
      <c r="P150" s="5" t="s">
        <v>263</v>
      </c>
    </row>
    <row r="151" spans="1:16" ht="57.6" x14ac:dyDescent="0.3">
      <c r="A151">
        <v>150</v>
      </c>
      <c r="B151" t="s">
        <v>4</v>
      </c>
      <c r="C151" t="s">
        <v>5</v>
      </c>
      <c r="D151" s="1" t="s">
        <v>264</v>
      </c>
      <c r="E151">
        <v>126234</v>
      </c>
      <c r="F151" s="4">
        <v>11410</v>
      </c>
      <c r="G151">
        <v>1</v>
      </c>
      <c r="H151">
        <v>0</v>
      </c>
      <c r="I151">
        <v>0</v>
      </c>
      <c r="J151">
        <v>1</v>
      </c>
      <c r="K151">
        <v>4.9000000000000004</v>
      </c>
      <c r="L151" s="16">
        <f t="shared" si="8"/>
        <v>9.3422454428561217</v>
      </c>
      <c r="M151" s="16">
        <f t="shared" si="9"/>
        <v>1.7749523509116738</v>
      </c>
      <c r="N151" s="16">
        <f t="shared" si="10"/>
        <v>0</v>
      </c>
      <c r="O151" s="16">
        <f t="shared" si="11"/>
        <v>0</v>
      </c>
      <c r="P151" s="5" t="s">
        <v>265</v>
      </c>
    </row>
    <row r="152" spans="1:16" ht="72" x14ac:dyDescent="0.3">
      <c r="A152">
        <v>151</v>
      </c>
      <c r="B152" t="s">
        <v>4</v>
      </c>
      <c r="C152" t="s">
        <v>5</v>
      </c>
      <c r="D152" s="1" t="s">
        <v>266</v>
      </c>
      <c r="E152">
        <v>126234</v>
      </c>
      <c r="F152" s="4">
        <v>14662</v>
      </c>
      <c r="G152">
        <v>2</v>
      </c>
      <c r="H152">
        <v>1</v>
      </c>
      <c r="I152">
        <v>12</v>
      </c>
      <c r="J152">
        <v>1</v>
      </c>
      <c r="K152">
        <v>4.4000000000000004</v>
      </c>
      <c r="L152" s="16">
        <f t="shared" si="8"/>
        <v>9.593014391783532</v>
      </c>
      <c r="M152" s="16">
        <f t="shared" si="9"/>
        <v>1.6863989535702288</v>
      </c>
      <c r="N152" s="16">
        <f t="shared" si="10"/>
        <v>0.69314718055994529</v>
      </c>
      <c r="O152" s="16">
        <f t="shared" si="11"/>
        <v>2.5649493574615367</v>
      </c>
      <c r="P152" s="5" t="s">
        <v>267</v>
      </c>
    </row>
    <row r="153" spans="1:16" ht="43.2" x14ac:dyDescent="0.3">
      <c r="A153">
        <v>152</v>
      </c>
      <c r="B153" t="s">
        <v>4</v>
      </c>
      <c r="C153" t="s">
        <v>5</v>
      </c>
      <c r="D153" s="1" t="s">
        <v>268</v>
      </c>
      <c r="E153">
        <v>126234</v>
      </c>
      <c r="F153" s="4">
        <v>11918</v>
      </c>
      <c r="G153">
        <v>2</v>
      </c>
      <c r="H153">
        <v>0</v>
      </c>
      <c r="I153">
        <v>0</v>
      </c>
      <c r="J153">
        <v>1</v>
      </c>
      <c r="K153">
        <v>4.8</v>
      </c>
      <c r="L153" s="16">
        <f t="shared" si="8"/>
        <v>9.3858051413069248</v>
      </c>
      <c r="M153" s="16">
        <f t="shared" si="9"/>
        <v>1.7578579175523736</v>
      </c>
      <c r="N153" s="16">
        <f t="shared" si="10"/>
        <v>0</v>
      </c>
      <c r="O153" s="16">
        <f t="shared" si="11"/>
        <v>0</v>
      </c>
      <c r="P153" s="5" t="s">
        <v>269</v>
      </c>
    </row>
    <row r="154" spans="1:16" ht="57.6" x14ac:dyDescent="0.3">
      <c r="A154">
        <v>153</v>
      </c>
      <c r="B154" t="s">
        <v>4</v>
      </c>
      <c r="C154" t="s">
        <v>5</v>
      </c>
      <c r="D154" s="1" t="s">
        <v>270</v>
      </c>
      <c r="E154">
        <v>126234</v>
      </c>
      <c r="F154" s="4">
        <v>10615</v>
      </c>
      <c r="G154">
        <v>2</v>
      </c>
      <c r="H154">
        <v>0</v>
      </c>
      <c r="I154">
        <v>0</v>
      </c>
      <c r="J154">
        <v>1</v>
      </c>
      <c r="K154">
        <v>4.9000000000000004</v>
      </c>
      <c r="L154" s="16">
        <f t="shared" si="8"/>
        <v>9.2700233741373559</v>
      </c>
      <c r="M154" s="16">
        <f t="shared" si="9"/>
        <v>1.7749523509116738</v>
      </c>
      <c r="N154" s="16">
        <f t="shared" si="10"/>
        <v>0</v>
      </c>
      <c r="O154" s="16">
        <f t="shared" si="11"/>
        <v>0</v>
      </c>
      <c r="P154" s="5" t="s">
        <v>271</v>
      </c>
    </row>
    <row r="155" spans="1:16" ht="86.4" x14ac:dyDescent="0.3">
      <c r="A155">
        <v>154</v>
      </c>
      <c r="B155" t="s">
        <v>4</v>
      </c>
      <c r="C155" t="s">
        <v>5</v>
      </c>
      <c r="D155" s="1" t="s">
        <v>272</v>
      </c>
      <c r="E155">
        <v>126234</v>
      </c>
      <c r="F155" s="4">
        <v>11995</v>
      </c>
      <c r="G155">
        <v>2</v>
      </c>
      <c r="H155">
        <v>0</v>
      </c>
      <c r="I155">
        <v>0</v>
      </c>
      <c r="J155">
        <v>1</v>
      </c>
      <c r="K155">
        <v>5</v>
      </c>
      <c r="L155" s="16">
        <f t="shared" si="8"/>
        <v>9.3922451752737945</v>
      </c>
      <c r="M155" s="16">
        <f t="shared" si="9"/>
        <v>1.791759469228055</v>
      </c>
      <c r="N155" s="16">
        <f t="shared" si="10"/>
        <v>0</v>
      </c>
      <c r="O155" s="16">
        <f t="shared" si="11"/>
        <v>0</v>
      </c>
      <c r="P155" s="5" t="s">
        <v>273</v>
      </c>
    </row>
    <row r="156" spans="1:16" ht="43.2" x14ac:dyDescent="0.3">
      <c r="A156">
        <v>155</v>
      </c>
      <c r="B156" t="s">
        <v>4</v>
      </c>
      <c r="C156" t="s">
        <v>5</v>
      </c>
      <c r="D156" s="1">
        <v>126234</v>
      </c>
      <c r="E156">
        <v>126234</v>
      </c>
      <c r="F156" s="4">
        <v>10559</v>
      </c>
      <c r="G156">
        <v>1</v>
      </c>
      <c r="H156">
        <v>0</v>
      </c>
      <c r="I156">
        <v>0</v>
      </c>
      <c r="J156">
        <v>1</v>
      </c>
      <c r="K156">
        <v>5</v>
      </c>
      <c r="L156" s="16">
        <f t="shared" si="8"/>
        <v>9.2647338558065151</v>
      </c>
      <c r="M156" s="16">
        <f t="shared" si="9"/>
        <v>1.791759469228055</v>
      </c>
      <c r="N156" s="16">
        <f t="shared" si="10"/>
        <v>0</v>
      </c>
      <c r="O156" s="16">
        <f t="shared" si="11"/>
        <v>0</v>
      </c>
      <c r="P156" s="5" t="s">
        <v>274</v>
      </c>
    </row>
    <row r="157" spans="1:16" ht="86.4" x14ac:dyDescent="0.3">
      <c r="A157">
        <v>156</v>
      </c>
      <c r="B157" t="s">
        <v>4</v>
      </c>
      <c r="C157" t="s">
        <v>5</v>
      </c>
      <c r="D157" s="17" t="s">
        <v>332</v>
      </c>
      <c r="E157">
        <v>126234</v>
      </c>
      <c r="F157" s="4">
        <v>12999</v>
      </c>
      <c r="G157">
        <v>2</v>
      </c>
      <c r="H157">
        <v>0</v>
      </c>
      <c r="I157">
        <v>0</v>
      </c>
      <c r="J157">
        <v>1</v>
      </c>
      <c r="K157">
        <v>4.8</v>
      </c>
      <c r="L157" s="16">
        <f t="shared" si="8"/>
        <v>9.4726277104080197</v>
      </c>
      <c r="M157" s="16">
        <f t="shared" si="9"/>
        <v>1.7578579175523736</v>
      </c>
      <c r="N157" s="16">
        <f t="shared" si="10"/>
        <v>0</v>
      </c>
      <c r="O157" s="16">
        <f t="shared" si="11"/>
        <v>0</v>
      </c>
      <c r="P157" s="5" t="s">
        <v>333</v>
      </c>
    </row>
    <row r="158" spans="1:16" ht="43.2" x14ac:dyDescent="0.3">
      <c r="A158">
        <v>157</v>
      </c>
      <c r="B158" t="s">
        <v>4</v>
      </c>
      <c r="C158" t="s">
        <v>5</v>
      </c>
      <c r="D158" s="1" t="s">
        <v>275</v>
      </c>
      <c r="E158">
        <v>126234</v>
      </c>
      <c r="F158" s="4">
        <v>13336</v>
      </c>
      <c r="G158">
        <v>2</v>
      </c>
      <c r="H158">
        <v>0</v>
      </c>
      <c r="I158">
        <v>0</v>
      </c>
      <c r="J158">
        <v>1</v>
      </c>
      <c r="K158">
        <v>4.9000000000000004</v>
      </c>
      <c r="L158" s="16">
        <f t="shared" ref="L158:L169" si="12">LN(F158)</f>
        <v>9.4982224244306295</v>
      </c>
      <c r="M158" s="16">
        <f t="shared" ref="M158:M201" si="13">LN(K158 + 1)</f>
        <v>1.7749523509116738</v>
      </c>
      <c r="N158" s="16">
        <f t="shared" ref="N158:N201" si="14">LN(H158 +1)</f>
        <v>0</v>
      </c>
      <c r="O158" s="16">
        <f t="shared" ref="O158:O201" si="15">LN(I158 + 1)</f>
        <v>0</v>
      </c>
      <c r="P158" s="5" t="s">
        <v>276</v>
      </c>
    </row>
    <row r="159" spans="1:16" ht="43.2" x14ac:dyDescent="0.3">
      <c r="A159">
        <v>158</v>
      </c>
      <c r="B159" t="s">
        <v>4</v>
      </c>
      <c r="C159" t="s">
        <v>5</v>
      </c>
      <c r="D159" s="1" t="s">
        <v>277</v>
      </c>
      <c r="E159">
        <v>126234</v>
      </c>
      <c r="F159" s="4">
        <v>12050</v>
      </c>
      <c r="G159">
        <v>2</v>
      </c>
      <c r="H159">
        <v>0</v>
      </c>
      <c r="I159">
        <v>0</v>
      </c>
      <c r="J159">
        <v>0</v>
      </c>
      <c r="K159">
        <v>0</v>
      </c>
      <c r="L159" s="16">
        <f t="shared" si="12"/>
        <v>9.3968199389188012</v>
      </c>
      <c r="M159" s="16">
        <f t="shared" si="13"/>
        <v>0</v>
      </c>
      <c r="N159" s="16">
        <f t="shared" si="14"/>
        <v>0</v>
      </c>
      <c r="O159" s="16">
        <f t="shared" si="15"/>
        <v>0</v>
      </c>
      <c r="P159" s="5" t="s">
        <v>278</v>
      </c>
    </row>
    <row r="160" spans="1:16" ht="57.6" x14ac:dyDescent="0.3">
      <c r="A160">
        <v>159</v>
      </c>
      <c r="B160" t="s">
        <v>4</v>
      </c>
      <c r="C160" t="s">
        <v>5</v>
      </c>
      <c r="D160" s="1" t="s">
        <v>279</v>
      </c>
      <c r="E160">
        <v>126234</v>
      </c>
      <c r="F160" s="4">
        <v>12697</v>
      </c>
      <c r="G160">
        <v>2</v>
      </c>
      <c r="H160">
        <v>0</v>
      </c>
      <c r="I160">
        <v>0</v>
      </c>
      <c r="J160">
        <v>0</v>
      </c>
      <c r="K160">
        <v>0</v>
      </c>
      <c r="L160" s="16">
        <f t="shared" si="12"/>
        <v>9.4491210240697914</v>
      </c>
      <c r="M160" s="16">
        <f t="shared" si="13"/>
        <v>0</v>
      </c>
      <c r="N160" s="16">
        <f t="shared" si="14"/>
        <v>0</v>
      </c>
      <c r="O160" s="16">
        <f t="shared" si="15"/>
        <v>0</v>
      </c>
      <c r="P160" s="5" t="s">
        <v>280</v>
      </c>
    </row>
    <row r="161" spans="1:16" ht="43.2" x14ac:dyDescent="0.3">
      <c r="A161">
        <v>160</v>
      </c>
      <c r="B161" t="s">
        <v>4</v>
      </c>
      <c r="C161" t="s">
        <v>5</v>
      </c>
      <c r="D161" s="1" t="s">
        <v>281</v>
      </c>
      <c r="E161">
        <v>126234</v>
      </c>
      <c r="F161" s="18">
        <v>12923</v>
      </c>
      <c r="G161">
        <v>1</v>
      </c>
      <c r="H161">
        <v>0</v>
      </c>
      <c r="I161">
        <v>0</v>
      </c>
      <c r="J161">
        <v>0</v>
      </c>
      <c r="K161">
        <v>0</v>
      </c>
      <c r="L161" s="16">
        <f t="shared" si="12"/>
        <v>9.4667639485251911</v>
      </c>
      <c r="M161" s="16">
        <f t="shared" si="13"/>
        <v>0</v>
      </c>
      <c r="N161" s="16">
        <f t="shared" si="14"/>
        <v>0</v>
      </c>
      <c r="O161" s="16">
        <f t="shared" si="15"/>
        <v>0</v>
      </c>
      <c r="P161" s="5" t="s">
        <v>282</v>
      </c>
    </row>
    <row r="162" spans="1:16" ht="72" x14ac:dyDescent="0.3">
      <c r="A162">
        <v>161</v>
      </c>
      <c r="B162" t="s">
        <v>4</v>
      </c>
      <c r="C162" t="s">
        <v>5</v>
      </c>
      <c r="D162" s="1" t="s">
        <v>283</v>
      </c>
      <c r="E162">
        <v>126234</v>
      </c>
      <c r="F162" s="4">
        <v>11715</v>
      </c>
      <c r="G162">
        <v>2</v>
      </c>
      <c r="H162">
        <v>0</v>
      </c>
      <c r="I162">
        <v>0</v>
      </c>
      <c r="J162">
        <v>0</v>
      </c>
      <c r="K162">
        <v>0</v>
      </c>
      <c r="L162" s="16">
        <f t="shared" si="12"/>
        <v>9.3686253509418957</v>
      </c>
      <c r="M162" s="16">
        <f t="shared" si="13"/>
        <v>0</v>
      </c>
      <c r="N162" s="16">
        <f t="shared" si="14"/>
        <v>0</v>
      </c>
      <c r="O162" s="16">
        <f t="shared" si="15"/>
        <v>0</v>
      </c>
      <c r="P162" s="5" t="s">
        <v>284</v>
      </c>
    </row>
    <row r="163" spans="1:16" ht="72" x14ac:dyDescent="0.3">
      <c r="A163">
        <v>162</v>
      </c>
      <c r="B163" t="s">
        <v>4</v>
      </c>
      <c r="C163" t="s">
        <v>5</v>
      </c>
      <c r="D163" s="1" t="s">
        <v>285</v>
      </c>
      <c r="E163">
        <v>126234</v>
      </c>
      <c r="F163" s="4">
        <v>11056</v>
      </c>
      <c r="G163">
        <v>2</v>
      </c>
      <c r="H163">
        <v>0</v>
      </c>
      <c r="I163">
        <v>0</v>
      </c>
      <c r="J163">
        <v>0</v>
      </c>
      <c r="K163">
        <v>0</v>
      </c>
      <c r="L163" s="16">
        <f t="shared" si="12"/>
        <v>9.3107285460074518</v>
      </c>
      <c r="M163" s="16">
        <f t="shared" si="13"/>
        <v>0</v>
      </c>
      <c r="N163" s="16">
        <f t="shared" si="14"/>
        <v>0</v>
      </c>
      <c r="O163" s="16">
        <f t="shared" si="15"/>
        <v>0</v>
      </c>
      <c r="P163" s="5" t="s">
        <v>286</v>
      </c>
    </row>
    <row r="164" spans="1:16" ht="72" x14ac:dyDescent="0.3">
      <c r="A164">
        <v>163</v>
      </c>
      <c r="B164" t="s">
        <v>4</v>
      </c>
      <c r="C164" t="s">
        <v>5</v>
      </c>
      <c r="D164" s="1" t="s">
        <v>287</v>
      </c>
      <c r="E164">
        <v>126234</v>
      </c>
      <c r="F164" s="4">
        <v>15618</v>
      </c>
      <c r="G164">
        <v>2</v>
      </c>
      <c r="H164">
        <v>1</v>
      </c>
      <c r="I164">
        <v>24</v>
      </c>
      <c r="J164">
        <v>0</v>
      </c>
      <c r="K164">
        <v>0</v>
      </c>
      <c r="L164" s="16">
        <f t="shared" si="12"/>
        <v>9.6561793742226207</v>
      </c>
      <c r="M164" s="16">
        <f t="shared" si="13"/>
        <v>0</v>
      </c>
      <c r="N164" s="16">
        <f t="shared" si="14"/>
        <v>0.69314718055994529</v>
      </c>
      <c r="O164" s="16">
        <f t="shared" si="15"/>
        <v>3.2188758248682006</v>
      </c>
      <c r="P164" s="5" t="s">
        <v>288</v>
      </c>
    </row>
    <row r="165" spans="1:16" ht="43.2" x14ac:dyDescent="0.3">
      <c r="A165">
        <v>164</v>
      </c>
      <c r="B165" t="s">
        <v>4</v>
      </c>
      <c r="C165" t="s">
        <v>5</v>
      </c>
      <c r="D165" s="1" t="s">
        <v>289</v>
      </c>
      <c r="E165">
        <v>126234</v>
      </c>
      <c r="F165" s="4">
        <v>12046</v>
      </c>
      <c r="G165">
        <v>0</v>
      </c>
      <c r="H165">
        <v>0</v>
      </c>
      <c r="I165">
        <v>0</v>
      </c>
      <c r="J165">
        <v>1</v>
      </c>
      <c r="K165">
        <v>4.7</v>
      </c>
      <c r="L165" s="16">
        <f t="shared" si="12"/>
        <v>9.396487933603666</v>
      </c>
      <c r="M165" s="16">
        <f t="shared" si="13"/>
        <v>1.7404661748405046</v>
      </c>
      <c r="N165" s="16">
        <f t="shared" si="14"/>
        <v>0</v>
      </c>
      <c r="O165" s="16">
        <f t="shared" si="15"/>
        <v>0</v>
      </c>
      <c r="P165" s="5" t="s">
        <v>290</v>
      </c>
    </row>
    <row r="166" spans="1:16" ht="57.6" x14ac:dyDescent="0.3">
      <c r="A166">
        <v>165</v>
      </c>
      <c r="B166" t="s">
        <v>4</v>
      </c>
      <c r="C166" t="s">
        <v>5</v>
      </c>
      <c r="D166" s="1">
        <v>126234</v>
      </c>
      <c r="E166">
        <v>126234</v>
      </c>
      <c r="F166" s="4">
        <v>13148</v>
      </c>
      <c r="G166">
        <v>2</v>
      </c>
      <c r="H166">
        <v>0</v>
      </c>
      <c r="I166">
        <v>0</v>
      </c>
      <c r="J166">
        <v>1</v>
      </c>
      <c r="K166">
        <v>0</v>
      </c>
      <c r="L166" s="16">
        <f t="shared" si="12"/>
        <v>9.4840249347841095</v>
      </c>
      <c r="M166" s="16">
        <f t="shared" si="13"/>
        <v>0</v>
      </c>
      <c r="N166" s="16">
        <f t="shared" si="14"/>
        <v>0</v>
      </c>
      <c r="O166" s="16">
        <f t="shared" si="15"/>
        <v>0</v>
      </c>
      <c r="P166" s="5" t="s">
        <v>291</v>
      </c>
    </row>
    <row r="167" spans="1:16" ht="57.6" x14ac:dyDescent="0.3">
      <c r="A167">
        <v>166</v>
      </c>
      <c r="B167" t="s">
        <v>4</v>
      </c>
      <c r="C167" t="s">
        <v>5</v>
      </c>
      <c r="D167" s="1">
        <v>126234</v>
      </c>
      <c r="E167">
        <v>126234</v>
      </c>
      <c r="F167" s="4">
        <v>12719</v>
      </c>
      <c r="G167">
        <v>2</v>
      </c>
      <c r="H167">
        <v>0</v>
      </c>
      <c r="I167">
        <v>0</v>
      </c>
      <c r="J167">
        <v>1</v>
      </c>
      <c r="K167">
        <v>0</v>
      </c>
      <c r="L167" s="16">
        <f t="shared" si="12"/>
        <v>9.4508522174514837</v>
      </c>
      <c r="M167" s="16">
        <f t="shared" si="13"/>
        <v>0</v>
      </c>
      <c r="N167" s="16">
        <f t="shared" si="14"/>
        <v>0</v>
      </c>
      <c r="O167" s="16">
        <f t="shared" si="15"/>
        <v>0</v>
      </c>
      <c r="P167" s="5" t="s">
        <v>292</v>
      </c>
    </row>
    <row r="168" spans="1:16" ht="57.6" x14ac:dyDescent="0.3">
      <c r="A168">
        <v>167</v>
      </c>
      <c r="B168" t="s">
        <v>4</v>
      </c>
      <c r="C168" t="s">
        <v>5</v>
      </c>
      <c r="D168" s="1" t="s">
        <v>293</v>
      </c>
      <c r="E168">
        <v>126234</v>
      </c>
      <c r="F168" s="4">
        <v>14752</v>
      </c>
      <c r="G168">
        <v>1</v>
      </c>
      <c r="H168">
        <v>1</v>
      </c>
      <c r="I168">
        <v>12</v>
      </c>
      <c r="J168">
        <v>1</v>
      </c>
      <c r="K168">
        <v>4.9000000000000004</v>
      </c>
      <c r="L168" s="16">
        <f t="shared" si="12"/>
        <v>9.5991339457963747</v>
      </c>
      <c r="M168" s="16">
        <f t="shared" si="13"/>
        <v>1.7749523509116738</v>
      </c>
      <c r="N168" s="16">
        <f t="shared" si="14"/>
        <v>0.69314718055994529</v>
      </c>
      <c r="O168" s="16">
        <f t="shared" si="15"/>
        <v>2.5649493574615367</v>
      </c>
      <c r="P168" s="5" t="s">
        <v>294</v>
      </c>
    </row>
    <row r="169" spans="1:16" ht="57.6" x14ac:dyDescent="0.3">
      <c r="A169">
        <v>168</v>
      </c>
      <c r="B169" t="s">
        <v>4</v>
      </c>
      <c r="C169" t="s">
        <v>5</v>
      </c>
      <c r="D169" s="1" t="s">
        <v>295</v>
      </c>
      <c r="E169">
        <v>126234</v>
      </c>
      <c r="F169" s="4">
        <v>12923</v>
      </c>
      <c r="G169">
        <v>2</v>
      </c>
      <c r="H169">
        <v>0</v>
      </c>
      <c r="I169">
        <v>0</v>
      </c>
      <c r="J169">
        <v>0</v>
      </c>
      <c r="K169">
        <v>0</v>
      </c>
      <c r="L169" s="16">
        <f t="shared" si="12"/>
        <v>9.4667639485251911</v>
      </c>
      <c r="M169" s="16">
        <f t="shared" si="13"/>
        <v>0</v>
      </c>
      <c r="N169" s="16">
        <f t="shared" si="14"/>
        <v>0</v>
      </c>
      <c r="O169" s="16">
        <f t="shared" si="15"/>
        <v>0</v>
      </c>
      <c r="P169" s="5" t="s">
        <v>296</v>
      </c>
    </row>
    <row r="170" spans="1:16" ht="57.6" x14ac:dyDescent="0.3">
      <c r="A170">
        <v>169</v>
      </c>
      <c r="B170" t="s">
        <v>4</v>
      </c>
      <c r="C170" t="s">
        <v>5</v>
      </c>
      <c r="D170" s="1" t="s">
        <v>297</v>
      </c>
      <c r="E170">
        <v>126234</v>
      </c>
      <c r="F170" s="4">
        <v>13067</v>
      </c>
      <c r="G170">
        <v>2</v>
      </c>
      <c r="H170">
        <v>0</v>
      </c>
      <c r="I170">
        <v>0</v>
      </c>
      <c r="J170">
        <v>0</v>
      </c>
      <c r="K170">
        <v>0</v>
      </c>
      <c r="L170" s="16">
        <f t="shared" ref="L170:L201" si="16">LN(F170)</f>
        <v>9.4778452469891459</v>
      </c>
      <c r="M170" s="16">
        <f t="shared" si="13"/>
        <v>0</v>
      </c>
      <c r="N170" s="16">
        <f t="shared" si="14"/>
        <v>0</v>
      </c>
      <c r="O170" s="16">
        <f t="shared" si="15"/>
        <v>0</v>
      </c>
      <c r="P170" s="5" t="s">
        <v>298</v>
      </c>
    </row>
    <row r="171" spans="1:16" ht="72" x14ac:dyDescent="0.3">
      <c r="A171">
        <v>170</v>
      </c>
      <c r="B171" t="s">
        <v>4</v>
      </c>
      <c r="C171" t="s">
        <v>5</v>
      </c>
      <c r="D171" s="1" t="s">
        <v>299</v>
      </c>
      <c r="E171">
        <v>126234</v>
      </c>
      <c r="F171" s="4">
        <v>13067</v>
      </c>
      <c r="G171">
        <v>2</v>
      </c>
      <c r="H171">
        <v>0</v>
      </c>
      <c r="I171">
        <v>0</v>
      </c>
      <c r="J171">
        <v>0</v>
      </c>
      <c r="K171">
        <v>0</v>
      </c>
      <c r="L171" s="16">
        <f t="shared" si="16"/>
        <v>9.4778452469891459</v>
      </c>
      <c r="M171" s="16">
        <f t="shared" si="13"/>
        <v>0</v>
      </c>
      <c r="N171" s="16">
        <f t="shared" si="14"/>
        <v>0</v>
      </c>
      <c r="O171" s="16">
        <f t="shared" si="15"/>
        <v>0</v>
      </c>
      <c r="P171" s="5" t="s">
        <v>300</v>
      </c>
    </row>
    <row r="172" spans="1:16" ht="72" x14ac:dyDescent="0.3">
      <c r="A172">
        <v>171</v>
      </c>
      <c r="B172" t="s">
        <v>4</v>
      </c>
      <c r="C172" t="s">
        <v>5</v>
      </c>
      <c r="D172" s="1" t="s">
        <v>301</v>
      </c>
      <c r="E172">
        <v>126234</v>
      </c>
      <c r="F172" s="4">
        <v>18134</v>
      </c>
      <c r="G172">
        <v>2</v>
      </c>
      <c r="H172">
        <v>1</v>
      </c>
      <c r="I172">
        <v>12</v>
      </c>
      <c r="J172">
        <v>1</v>
      </c>
      <c r="K172">
        <v>4.9000000000000004</v>
      </c>
      <c r="L172" s="16">
        <f t="shared" si="16"/>
        <v>9.8055439082060012</v>
      </c>
      <c r="M172" s="16">
        <f t="shared" si="13"/>
        <v>1.7749523509116738</v>
      </c>
      <c r="N172" s="16">
        <f t="shared" si="14"/>
        <v>0.69314718055994529</v>
      </c>
      <c r="O172" s="16">
        <f t="shared" si="15"/>
        <v>2.5649493574615367</v>
      </c>
      <c r="P172" s="5" t="s">
        <v>302</v>
      </c>
    </row>
    <row r="173" spans="1:16" ht="43.2" x14ac:dyDescent="0.3">
      <c r="A173">
        <v>172</v>
      </c>
      <c r="B173" t="s">
        <v>4</v>
      </c>
      <c r="C173" t="s">
        <v>5</v>
      </c>
      <c r="D173" s="1">
        <v>126234</v>
      </c>
      <c r="E173">
        <v>126234</v>
      </c>
      <c r="F173" s="4">
        <v>11235</v>
      </c>
      <c r="G173">
        <v>2</v>
      </c>
      <c r="H173">
        <v>0</v>
      </c>
      <c r="I173">
        <v>0</v>
      </c>
      <c r="J173">
        <v>1</v>
      </c>
      <c r="K173">
        <v>4.9000000000000004</v>
      </c>
      <c r="L173" s="16">
        <f t="shared" si="16"/>
        <v>9.3267891846194289</v>
      </c>
      <c r="M173" s="16">
        <f t="shared" si="13"/>
        <v>1.7749523509116738</v>
      </c>
      <c r="N173" s="16">
        <f t="shared" si="14"/>
        <v>0</v>
      </c>
      <c r="O173" s="16">
        <f t="shared" si="15"/>
        <v>0</v>
      </c>
      <c r="P173" s="5" t="s">
        <v>303</v>
      </c>
    </row>
    <row r="174" spans="1:16" ht="43.2" x14ac:dyDescent="0.3">
      <c r="A174">
        <v>173</v>
      </c>
      <c r="B174" t="s">
        <v>4</v>
      </c>
      <c r="C174" t="s">
        <v>5</v>
      </c>
      <c r="D174" s="1">
        <v>126234</v>
      </c>
      <c r="E174">
        <v>126234</v>
      </c>
      <c r="F174" s="4">
        <v>12221</v>
      </c>
      <c r="G174">
        <v>2</v>
      </c>
      <c r="H174">
        <v>0</v>
      </c>
      <c r="I174">
        <v>0</v>
      </c>
      <c r="J174">
        <v>0</v>
      </c>
      <c r="K174">
        <v>0</v>
      </c>
      <c r="L174" s="16">
        <f t="shared" si="16"/>
        <v>9.4109110624380001</v>
      </c>
      <c r="M174" s="16">
        <f t="shared" si="13"/>
        <v>0</v>
      </c>
      <c r="N174" s="16">
        <f t="shared" si="14"/>
        <v>0</v>
      </c>
      <c r="O174" s="16">
        <f t="shared" si="15"/>
        <v>0</v>
      </c>
      <c r="P174" s="5" t="s">
        <v>304</v>
      </c>
    </row>
    <row r="175" spans="1:16" ht="43.2" x14ac:dyDescent="0.3">
      <c r="A175">
        <v>174</v>
      </c>
      <c r="B175" t="s">
        <v>4</v>
      </c>
      <c r="C175" t="s">
        <v>5</v>
      </c>
      <c r="D175" s="1">
        <v>126234</v>
      </c>
      <c r="E175">
        <v>126234</v>
      </c>
      <c r="F175" s="4">
        <v>12798</v>
      </c>
      <c r="G175">
        <v>2</v>
      </c>
      <c r="H175">
        <v>0</v>
      </c>
      <c r="I175">
        <v>0</v>
      </c>
      <c r="J175">
        <v>1</v>
      </c>
      <c r="K175">
        <v>4.8</v>
      </c>
      <c r="L175" s="16">
        <f t="shared" si="16"/>
        <v>9.457044187699406</v>
      </c>
      <c r="M175" s="16">
        <f t="shared" si="13"/>
        <v>1.7578579175523736</v>
      </c>
      <c r="N175" s="16">
        <f t="shared" si="14"/>
        <v>0</v>
      </c>
      <c r="O175" s="16">
        <f t="shared" si="15"/>
        <v>0</v>
      </c>
      <c r="P175" s="5" t="s">
        <v>305</v>
      </c>
    </row>
    <row r="176" spans="1:16" ht="43.2" x14ac:dyDescent="0.3">
      <c r="A176">
        <v>175</v>
      </c>
      <c r="B176" t="s">
        <v>4</v>
      </c>
      <c r="C176" t="s">
        <v>5</v>
      </c>
      <c r="D176" s="1">
        <v>126234</v>
      </c>
      <c r="E176">
        <v>126234</v>
      </c>
      <c r="F176" s="4">
        <v>13284</v>
      </c>
      <c r="G176">
        <v>2</v>
      </c>
      <c r="H176">
        <v>0</v>
      </c>
      <c r="I176">
        <v>0</v>
      </c>
      <c r="J176">
        <v>0</v>
      </c>
      <c r="K176">
        <v>0</v>
      </c>
      <c r="L176" s="16">
        <f t="shared" si="16"/>
        <v>9.4943155824966379</v>
      </c>
      <c r="M176" s="16">
        <f t="shared" si="13"/>
        <v>0</v>
      </c>
      <c r="N176" s="16">
        <f t="shared" si="14"/>
        <v>0</v>
      </c>
      <c r="O176" s="16">
        <f t="shared" si="15"/>
        <v>0</v>
      </c>
      <c r="P176" s="5" t="s">
        <v>306</v>
      </c>
    </row>
    <row r="177" spans="1:16" ht="43.2" x14ac:dyDescent="0.3">
      <c r="A177">
        <v>176</v>
      </c>
      <c r="B177" t="s">
        <v>4</v>
      </c>
      <c r="C177" t="s">
        <v>5</v>
      </c>
      <c r="D177" s="1">
        <v>126234</v>
      </c>
      <c r="E177">
        <v>126234</v>
      </c>
      <c r="F177" s="4">
        <v>12871</v>
      </c>
      <c r="G177">
        <v>1</v>
      </c>
      <c r="H177">
        <v>0</v>
      </c>
      <c r="I177">
        <v>0</v>
      </c>
      <c r="J177">
        <v>0</v>
      </c>
      <c r="K177">
        <v>0</v>
      </c>
      <c r="L177" s="16">
        <f t="shared" si="16"/>
        <v>9.462731997649378</v>
      </c>
      <c r="M177" s="16">
        <f t="shared" si="13"/>
        <v>0</v>
      </c>
      <c r="N177" s="16">
        <f t="shared" si="14"/>
        <v>0</v>
      </c>
      <c r="O177" s="16">
        <f t="shared" si="15"/>
        <v>0</v>
      </c>
      <c r="P177" s="5" t="s">
        <v>307</v>
      </c>
    </row>
    <row r="178" spans="1:16" ht="57.6" x14ac:dyDescent="0.3">
      <c r="A178">
        <v>177</v>
      </c>
      <c r="B178" t="s">
        <v>4</v>
      </c>
      <c r="C178" t="s">
        <v>5</v>
      </c>
      <c r="D178" s="1" t="s">
        <v>308</v>
      </c>
      <c r="E178">
        <v>126234</v>
      </c>
      <c r="F178" s="4">
        <v>13408</v>
      </c>
      <c r="G178">
        <v>2</v>
      </c>
      <c r="H178">
        <v>0</v>
      </c>
      <c r="I178">
        <v>0</v>
      </c>
      <c r="J178">
        <v>1</v>
      </c>
      <c r="K178">
        <v>4.8</v>
      </c>
      <c r="L178" s="16">
        <f t="shared" si="16"/>
        <v>9.5036068227218635</v>
      </c>
      <c r="M178" s="16">
        <f t="shared" si="13"/>
        <v>1.7578579175523736</v>
      </c>
      <c r="N178" s="16">
        <f t="shared" si="14"/>
        <v>0</v>
      </c>
      <c r="O178" s="16">
        <f t="shared" si="15"/>
        <v>0</v>
      </c>
      <c r="P178" s="5" t="s">
        <v>309</v>
      </c>
    </row>
    <row r="179" spans="1:16" ht="57.6" x14ac:dyDescent="0.3">
      <c r="A179">
        <v>178</v>
      </c>
      <c r="B179" t="s">
        <v>4</v>
      </c>
      <c r="C179" t="s">
        <v>5</v>
      </c>
      <c r="D179" s="1" t="s">
        <v>310</v>
      </c>
      <c r="E179">
        <v>126234</v>
      </c>
      <c r="F179" s="4">
        <v>13840</v>
      </c>
      <c r="G179">
        <v>2</v>
      </c>
      <c r="H179">
        <v>0</v>
      </c>
      <c r="I179">
        <v>0</v>
      </c>
      <c r="J179">
        <v>1</v>
      </c>
      <c r="K179">
        <v>4.8</v>
      </c>
      <c r="L179" s="16">
        <f t="shared" si="16"/>
        <v>9.5353182291716614</v>
      </c>
      <c r="M179" s="16">
        <f t="shared" si="13"/>
        <v>1.7578579175523736</v>
      </c>
      <c r="N179" s="16">
        <f t="shared" si="14"/>
        <v>0</v>
      </c>
      <c r="O179" s="16">
        <f t="shared" si="15"/>
        <v>0</v>
      </c>
      <c r="P179" s="5" t="s">
        <v>311</v>
      </c>
    </row>
    <row r="180" spans="1:16" ht="57.6" x14ac:dyDescent="0.3">
      <c r="A180">
        <v>179</v>
      </c>
      <c r="B180" t="s">
        <v>4</v>
      </c>
      <c r="C180" t="s">
        <v>5</v>
      </c>
      <c r="D180" s="1">
        <v>126234</v>
      </c>
      <c r="E180">
        <v>126234</v>
      </c>
      <c r="F180" s="4">
        <v>12743</v>
      </c>
      <c r="G180">
        <v>2</v>
      </c>
      <c r="H180">
        <v>0</v>
      </c>
      <c r="I180">
        <v>0</v>
      </c>
      <c r="J180">
        <v>1</v>
      </c>
      <c r="K180">
        <v>5</v>
      </c>
      <c r="L180" s="16">
        <f t="shared" si="16"/>
        <v>9.4527373802122785</v>
      </c>
      <c r="M180" s="16">
        <f t="shared" si="13"/>
        <v>1.791759469228055</v>
      </c>
      <c r="N180" s="16">
        <f t="shared" si="14"/>
        <v>0</v>
      </c>
      <c r="O180" s="16">
        <f t="shared" si="15"/>
        <v>0</v>
      </c>
      <c r="P180" s="5" t="s">
        <v>312</v>
      </c>
    </row>
    <row r="181" spans="1:16" ht="72" x14ac:dyDescent="0.3">
      <c r="A181">
        <v>180</v>
      </c>
      <c r="B181" t="s">
        <v>4</v>
      </c>
      <c r="C181" t="s">
        <v>5</v>
      </c>
      <c r="D181" s="1" t="s">
        <v>313</v>
      </c>
      <c r="E181">
        <v>126234</v>
      </c>
      <c r="F181" s="4">
        <v>9995</v>
      </c>
      <c r="G181">
        <v>2</v>
      </c>
      <c r="H181">
        <v>0</v>
      </c>
      <c r="I181">
        <v>0</v>
      </c>
      <c r="J181">
        <v>1</v>
      </c>
      <c r="K181">
        <v>5</v>
      </c>
      <c r="L181" s="16">
        <f t="shared" si="16"/>
        <v>9.2098402469345011</v>
      </c>
      <c r="M181" s="16">
        <f t="shared" si="13"/>
        <v>1.791759469228055</v>
      </c>
      <c r="N181" s="16">
        <f t="shared" si="14"/>
        <v>0</v>
      </c>
      <c r="O181" s="16">
        <f t="shared" si="15"/>
        <v>0</v>
      </c>
      <c r="P181" s="5" t="s">
        <v>314</v>
      </c>
    </row>
    <row r="182" spans="1:16" ht="72" x14ac:dyDescent="0.3">
      <c r="A182">
        <v>181</v>
      </c>
      <c r="B182" t="s">
        <v>4</v>
      </c>
      <c r="C182" t="s">
        <v>5</v>
      </c>
      <c r="D182" s="1" t="s">
        <v>315</v>
      </c>
      <c r="E182">
        <v>126234</v>
      </c>
      <c r="F182" s="4">
        <v>9400</v>
      </c>
      <c r="G182">
        <v>2</v>
      </c>
      <c r="H182">
        <v>0</v>
      </c>
      <c r="I182">
        <v>0</v>
      </c>
      <c r="J182">
        <v>1</v>
      </c>
      <c r="K182">
        <v>4.9000000000000004</v>
      </c>
      <c r="L182" s="16">
        <f t="shared" si="16"/>
        <v>9.1484649682580947</v>
      </c>
      <c r="M182" s="16">
        <f t="shared" si="13"/>
        <v>1.7749523509116738</v>
      </c>
      <c r="N182" s="16">
        <f t="shared" si="14"/>
        <v>0</v>
      </c>
      <c r="O182" s="16">
        <f t="shared" si="15"/>
        <v>0</v>
      </c>
      <c r="P182" s="5" t="s">
        <v>316</v>
      </c>
    </row>
    <row r="183" spans="1:16" ht="86.4" x14ac:dyDescent="0.3">
      <c r="A183">
        <v>182</v>
      </c>
      <c r="B183" t="s">
        <v>4</v>
      </c>
      <c r="C183" t="s">
        <v>5</v>
      </c>
      <c r="D183" s="1" t="s">
        <v>317</v>
      </c>
      <c r="E183">
        <v>126234</v>
      </c>
      <c r="F183" s="4">
        <v>11914</v>
      </c>
      <c r="G183">
        <v>2</v>
      </c>
      <c r="H183">
        <v>0</v>
      </c>
      <c r="I183">
        <v>0</v>
      </c>
      <c r="J183">
        <v>1</v>
      </c>
      <c r="K183">
        <v>4.9000000000000004</v>
      </c>
      <c r="L183" s="16">
        <f t="shared" si="16"/>
        <v>9.3854694581886324</v>
      </c>
      <c r="M183" s="16">
        <f t="shared" si="13"/>
        <v>1.7749523509116738</v>
      </c>
      <c r="N183" s="16">
        <f t="shared" si="14"/>
        <v>0</v>
      </c>
      <c r="O183" s="16">
        <f t="shared" si="15"/>
        <v>0</v>
      </c>
      <c r="P183" s="5" t="s">
        <v>318</v>
      </c>
    </row>
    <row r="184" spans="1:16" ht="72" x14ac:dyDescent="0.3">
      <c r="A184">
        <v>183</v>
      </c>
      <c r="B184" t="s">
        <v>4</v>
      </c>
      <c r="C184" t="s">
        <v>5</v>
      </c>
      <c r="D184" s="1" t="s">
        <v>319</v>
      </c>
      <c r="E184">
        <v>126234</v>
      </c>
      <c r="F184" s="4">
        <v>12135</v>
      </c>
      <c r="G184">
        <v>2</v>
      </c>
      <c r="H184">
        <v>0</v>
      </c>
      <c r="I184">
        <v>0</v>
      </c>
      <c r="J184">
        <v>1</v>
      </c>
      <c r="K184">
        <v>4.8</v>
      </c>
      <c r="L184" s="16">
        <f t="shared" si="16"/>
        <v>9.4038491181607018</v>
      </c>
      <c r="M184" s="16">
        <f t="shared" si="13"/>
        <v>1.7578579175523736</v>
      </c>
      <c r="N184" s="16">
        <f t="shared" si="14"/>
        <v>0</v>
      </c>
      <c r="O184" s="16">
        <f t="shared" si="15"/>
        <v>0</v>
      </c>
      <c r="P184" s="5" t="s">
        <v>320</v>
      </c>
    </row>
    <row r="185" spans="1:16" ht="57.6" x14ac:dyDescent="0.3">
      <c r="A185">
        <v>184</v>
      </c>
      <c r="B185" t="s">
        <v>4</v>
      </c>
      <c r="C185" t="s">
        <v>5</v>
      </c>
      <c r="D185" s="1">
        <v>126234</v>
      </c>
      <c r="E185">
        <v>126234</v>
      </c>
      <c r="F185" s="4">
        <v>9000</v>
      </c>
      <c r="G185">
        <v>2</v>
      </c>
      <c r="H185">
        <v>0</v>
      </c>
      <c r="I185">
        <v>0</v>
      </c>
      <c r="J185">
        <v>1</v>
      </c>
      <c r="K185">
        <v>0</v>
      </c>
      <c r="L185" s="16">
        <f t="shared" si="16"/>
        <v>9.1049798563183568</v>
      </c>
      <c r="M185" s="16">
        <f t="shared" si="13"/>
        <v>0</v>
      </c>
      <c r="N185" s="16">
        <f t="shared" si="14"/>
        <v>0</v>
      </c>
      <c r="O185" s="16">
        <f t="shared" si="15"/>
        <v>0</v>
      </c>
      <c r="P185" s="5" t="s">
        <v>321</v>
      </c>
    </row>
    <row r="186" spans="1:16" ht="43.2" x14ac:dyDescent="0.3">
      <c r="A186">
        <v>185</v>
      </c>
      <c r="B186" t="s">
        <v>4</v>
      </c>
      <c r="C186" t="s">
        <v>5</v>
      </c>
      <c r="D186" s="1" t="s">
        <v>322</v>
      </c>
      <c r="E186">
        <v>126234</v>
      </c>
      <c r="F186" s="4">
        <v>10400</v>
      </c>
      <c r="G186">
        <v>2</v>
      </c>
      <c r="H186">
        <v>0</v>
      </c>
      <c r="I186">
        <v>0</v>
      </c>
      <c r="J186">
        <v>0</v>
      </c>
      <c r="K186">
        <v>0</v>
      </c>
      <c r="L186" s="16">
        <f t="shared" si="16"/>
        <v>9.2495610851294643</v>
      </c>
      <c r="M186" s="16">
        <f t="shared" si="13"/>
        <v>0</v>
      </c>
      <c r="N186" s="16">
        <f t="shared" si="14"/>
        <v>0</v>
      </c>
      <c r="O186" s="16">
        <f t="shared" si="15"/>
        <v>0</v>
      </c>
      <c r="P186" s="5" t="s">
        <v>334</v>
      </c>
    </row>
    <row r="187" spans="1:16" ht="57.6" x14ac:dyDescent="0.3">
      <c r="A187">
        <v>186</v>
      </c>
      <c r="B187" t="s">
        <v>4</v>
      </c>
      <c r="C187" t="s">
        <v>5</v>
      </c>
      <c r="D187" s="1" t="s">
        <v>323</v>
      </c>
      <c r="E187">
        <v>126234</v>
      </c>
      <c r="F187" s="4">
        <v>8955</v>
      </c>
      <c r="G187">
        <v>2</v>
      </c>
      <c r="H187">
        <v>0</v>
      </c>
      <c r="I187">
        <v>0</v>
      </c>
      <c r="J187">
        <v>1</v>
      </c>
      <c r="K187">
        <v>4.3</v>
      </c>
      <c r="L187" s="16">
        <f t="shared" si="16"/>
        <v>9.0999673144948119</v>
      </c>
      <c r="M187" s="16">
        <f t="shared" si="13"/>
        <v>1.6677068205580761</v>
      </c>
      <c r="N187" s="16">
        <f t="shared" si="14"/>
        <v>0</v>
      </c>
      <c r="O187" s="16">
        <f t="shared" si="15"/>
        <v>0</v>
      </c>
      <c r="P187" s="5" t="s">
        <v>335</v>
      </c>
    </row>
    <row r="188" spans="1:16" ht="57.6" x14ac:dyDescent="0.3">
      <c r="A188">
        <v>187</v>
      </c>
      <c r="B188" t="s">
        <v>4</v>
      </c>
      <c r="C188" t="s">
        <v>5</v>
      </c>
      <c r="D188" s="1" t="s">
        <v>324</v>
      </c>
      <c r="E188">
        <v>126234</v>
      </c>
      <c r="F188" s="4">
        <v>15303</v>
      </c>
      <c r="G188">
        <v>2</v>
      </c>
      <c r="H188">
        <v>0</v>
      </c>
      <c r="I188">
        <v>0</v>
      </c>
      <c r="J188">
        <v>0</v>
      </c>
      <c r="K188">
        <v>0</v>
      </c>
      <c r="L188" s="16">
        <f t="shared" si="16"/>
        <v>9.6358041665910363</v>
      </c>
      <c r="M188" s="16">
        <f t="shared" si="13"/>
        <v>0</v>
      </c>
      <c r="N188" s="16">
        <f t="shared" si="14"/>
        <v>0</v>
      </c>
      <c r="O188" s="16">
        <f t="shared" si="15"/>
        <v>0</v>
      </c>
      <c r="P188" s="5" t="s">
        <v>336</v>
      </c>
    </row>
    <row r="189" spans="1:16" s="20" customFormat="1" ht="43.2" x14ac:dyDescent="0.3">
      <c r="A189">
        <v>188</v>
      </c>
      <c r="B189" s="20" t="s">
        <v>4</v>
      </c>
      <c r="C189" s="20" t="s">
        <v>5</v>
      </c>
      <c r="D189" s="21" t="s">
        <v>344</v>
      </c>
      <c r="E189">
        <v>126234</v>
      </c>
      <c r="F189" s="22">
        <v>13150</v>
      </c>
      <c r="G189" s="20">
        <v>2</v>
      </c>
      <c r="H189" s="20">
        <v>0</v>
      </c>
      <c r="I189" s="20">
        <v>0</v>
      </c>
      <c r="J189" s="20">
        <v>0</v>
      </c>
      <c r="K189" s="20">
        <v>0</v>
      </c>
      <c r="L189" s="23">
        <f t="shared" si="16"/>
        <v>9.4841770376059102</v>
      </c>
      <c r="M189" s="23">
        <f t="shared" si="13"/>
        <v>0</v>
      </c>
      <c r="N189" s="23">
        <f t="shared" si="14"/>
        <v>0</v>
      </c>
      <c r="O189" s="23">
        <f t="shared" si="15"/>
        <v>0</v>
      </c>
      <c r="P189" s="24" t="s">
        <v>345</v>
      </c>
    </row>
    <row r="190" spans="1:16" s="20" customFormat="1" ht="72" x14ac:dyDescent="0.3">
      <c r="A190">
        <v>189</v>
      </c>
      <c r="B190" s="20" t="s">
        <v>4</v>
      </c>
      <c r="C190" s="20" t="s">
        <v>5</v>
      </c>
      <c r="D190" s="21" t="s">
        <v>346</v>
      </c>
      <c r="E190">
        <v>126234</v>
      </c>
      <c r="F190" s="22">
        <v>10499</v>
      </c>
      <c r="G190" s="20">
        <v>2</v>
      </c>
      <c r="H190" s="20">
        <v>0</v>
      </c>
      <c r="I190" s="20">
        <v>0</v>
      </c>
      <c r="J190" s="20">
        <v>1</v>
      </c>
      <c r="K190" s="20">
        <v>5</v>
      </c>
      <c r="L190" s="23">
        <f t="shared" si="16"/>
        <v>9.2590352935149411</v>
      </c>
      <c r="M190" s="23">
        <f t="shared" si="13"/>
        <v>1.791759469228055</v>
      </c>
      <c r="N190" s="23">
        <f t="shared" si="14"/>
        <v>0</v>
      </c>
      <c r="O190" s="23">
        <f t="shared" si="15"/>
        <v>0</v>
      </c>
      <c r="P190" s="5" t="s">
        <v>347</v>
      </c>
    </row>
    <row r="191" spans="1:16" s="20" customFormat="1" ht="43.2" x14ac:dyDescent="0.3">
      <c r="A191">
        <v>190</v>
      </c>
      <c r="B191" s="20" t="s">
        <v>4</v>
      </c>
      <c r="C191" s="20" t="s">
        <v>5</v>
      </c>
      <c r="D191" s="21" t="s">
        <v>348</v>
      </c>
      <c r="E191">
        <v>126234</v>
      </c>
      <c r="F191" s="22">
        <v>15999</v>
      </c>
      <c r="G191" s="20">
        <v>2</v>
      </c>
      <c r="H191" s="20">
        <v>1</v>
      </c>
      <c r="I191" s="20">
        <v>12</v>
      </c>
      <c r="J191" s="20">
        <v>1</v>
      </c>
      <c r="K191" s="20">
        <v>4.9000000000000004</v>
      </c>
      <c r="L191" s="23">
        <f t="shared" si="16"/>
        <v>9.6802814992687125</v>
      </c>
      <c r="M191" s="23">
        <f t="shared" si="13"/>
        <v>1.7749523509116738</v>
      </c>
      <c r="N191" s="23">
        <f t="shared" si="14"/>
        <v>0.69314718055994529</v>
      </c>
      <c r="O191" s="23">
        <f t="shared" si="15"/>
        <v>2.5649493574615367</v>
      </c>
      <c r="P191" s="24" t="s">
        <v>349</v>
      </c>
    </row>
    <row r="192" spans="1:16" ht="72" x14ac:dyDescent="0.3">
      <c r="A192">
        <v>191</v>
      </c>
      <c r="B192" t="s">
        <v>4</v>
      </c>
      <c r="C192" t="s">
        <v>5</v>
      </c>
      <c r="D192" s="1" t="s">
        <v>325</v>
      </c>
      <c r="E192">
        <v>126234</v>
      </c>
      <c r="F192" s="4">
        <v>13737</v>
      </c>
      <c r="G192">
        <v>2</v>
      </c>
      <c r="H192">
        <v>0</v>
      </c>
      <c r="I192">
        <v>0</v>
      </c>
      <c r="J192">
        <v>1</v>
      </c>
      <c r="K192">
        <v>4.8</v>
      </c>
      <c r="L192" s="16">
        <f t="shared" si="16"/>
        <v>9.5278482013252059</v>
      </c>
      <c r="M192" s="16">
        <f t="shared" si="13"/>
        <v>1.7578579175523736</v>
      </c>
      <c r="N192" s="16">
        <f t="shared" si="14"/>
        <v>0</v>
      </c>
      <c r="O192" s="16">
        <f t="shared" si="15"/>
        <v>0</v>
      </c>
      <c r="P192" s="5" t="s">
        <v>337</v>
      </c>
    </row>
    <row r="193" spans="1:16" ht="57.6" x14ac:dyDescent="0.3">
      <c r="A193">
        <v>192</v>
      </c>
      <c r="B193" t="s">
        <v>4</v>
      </c>
      <c r="C193" t="s">
        <v>5</v>
      </c>
      <c r="D193" s="1" t="s">
        <v>326</v>
      </c>
      <c r="E193">
        <v>126234</v>
      </c>
      <c r="F193" s="4">
        <v>15536</v>
      </c>
      <c r="G193">
        <v>2</v>
      </c>
      <c r="H193" s="20">
        <v>1</v>
      </c>
      <c r="I193" s="20">
        <v>12</v>
      </c>
      <c r="J193">
        <v>1</v>
      </c>
      <c r="K193">
        <v>5</v>
      </c>
      <c r="L193" s="16">
        <f t="shared" si="16"/>
        <v>9.6509151905311068</v>
      </c>
      <c r="M193" s="16">
        <f t="shared" si="13"/>
        <v>1.791759469228055</v>
      </c>
      <c r="N193" s="16">
        <f t="shared" si="14"/>
        <v>0.69314718055994529</v>
      </c>
      <c r="O193" s="16">
        <f t="shared" si="15"/>
        <v>2.5649493574615367</v>
      </c>
      <c r="P193" s="5" t="s">
        <v>338</v>
      </c>
    </row>
    <row r="194" spans="1:16" ht="72" x14ac:dyDescent="0.3">
      <c r="A194">
        <v>193</v>
      </c>
      <c r="B194" t="s">
        <v>4</v>
      </c>
      <c r="C194" t="s">
        <v>5</v>
      </c>
      <c r="D194" s="1" t="s">
        <v>327</v>
      </c>
      <c r="E194">
        <v>126234</v>
      </c>
      <c r="F194" s="4">
        <v>11127</v>
      </c>
      <c r="G194">
        <v>2</v>
      </c>
      <c r="H194">
        <v>0</v>
      </c>
      <c r="I194">
        <v>0</v>
      </c>
      <c r="J194">
        <v>1</v>
      </c>
      <c r="K194">
        <v>4.8</v>
      </c>
      <c r="L194" s="16">
        <f t="shared" si="16"/>
        <v>9.3171298661576998</v>
      </c>
      <c r="M194" s="16">
        <f t="shared" si="13"/>
        <v>1.7578579175523736</v>
      </c>
      <c r="N194" s="16">
        <f t="shared" si="14"/>
        <v>0</v>
      </c>
      <c r="O194" s="16">
        <f t="shared" si="15"/>
        <v>0</v>
      </c>
      <c r="P194" s="5" t="s">
        <v>339</v>
      </c>
    </row>
    <row r="195" spans="1:16" ht="72" x14ac:dyDescent="0.3">
      <c r="A195">
        <v>194</v>
      </c>
      <c r="B195" t="s">
        <v>4</v>
      </c>
      <c r="C195" t="s">
        <v>5</v>
      </c>
      <c r="D195" s="1" t="s">
        <v>328</v>
      </c>
      <c r="E195">
        <v>126234</v>
      </c>
      <c r="F195" s="4">
        <v>12673</v>
      </c>
      <c r="G195">
        <v>2</v>
      </c>
      <c r="H195">
        <v>0</v>
      </c>
      <c r="I195">
        <v>0</v>
      </c>
      <c r="J195">
        <v>1</v>
      </c>
      <c r="K195">
        <v>4.5999999999999996</v>
      </c>
      <c r="L195" s="16">
        <f t="shared" si="16"/>
        <v>9.4472290250820645</v>
      </c>
      <c r="M195" s="16">
        <f t="shared" si="13"/>
        <v>1.7227665977411035</v>
      </c>
      <c r="N195" s="16">
        <f t="shared" si="14"/>
        <v>0</v>
      </c>
      <c r="O195" s="16">
        <f t="shared" si="15"/>
        <v>0</v>
      </c>
      <c r="P195" s="5" t="s">
        <v>340</v>
      </c>
    </row>
    <row r="196" spans="1:16" ht="43.2" x14ac:dyDescent="0.3">
      <c r="A196">
        <v>195</v>
      </c>
      <c r="B196" t="s">
        <v>4</v>
      </c>
      <c r="C196" t="s">
        <v>5</v>
      </c>
      <c r="D196" s="1" t="s">
        <v>329</v>
      </c>
      <c r="E196">
        <v>126234</v>
      </c>
      <c r="F196" s="4">
        <v>11956</v>
      </c>
      <c r="G196">
        <v>1</v>
      </c>
      <c r="H196">
        <v>0</v>
      </c>
      <c r="I196">
        <v>0</v>
      </c>
      <c r="J196">
        <v>1</v>
      </c>
      <c r="K196">
        <v>4.0999999999999996</v>
      </c>
      <c r="L196" s="16">
        <f t="shared" si="16"/>
        <v>9.3889885234038282</v>
      </c>
      <c r="M196" s="16">
        <f t="shared" si="13"/>
        <v>1.62924053973028</v>
      </c>
      <c r="N196" s="16">
        <f t="shared" si="14"/>
        <v>0</v>
      </c>
      <c r="O196" s="16">
        <f t="shared" si="15"/>
        <v>0</v>
      </c>
      <c r="P196" s="5" t="s">
        <v>341</v>
      </c>
    </row>
    <row r="197" spans="1:16" ht="86.4" x14ac:dyDescent="0.3">
      <c r="A197">
        <v>196</v>
      </c>
      <c r="B197" t="s">
        <v>4</v>
      </c>
      <c r="C197" t="s">
        <v>5</v>
      </c>
      <c r="D197" s="1" t="s">
        <v>330</v>
      </c>
      <c r="E197">
        <v>126234</v>
      </c>
      <c r="F197" s="4">
        <v>18650</v>
      </c>
      <c r="G197">
        <v>1</v>
      </c>
      <c r="H197">
        <v>1</v>
      </c>
      <c r="I197">
        <v>12</v>
      </c>
      <c r="J197">
        <v>1</v>
      </c>
      <c r="K197">
        <v>5</v>
      </c>
      <c r="L197" s="16">
        <f t="shared" si="16"/>
        <v>9.8336014250719614</v>
      </c>
      <c r="M197" s="16">
        <f t="shared" si="13"/>
        <v>1.791759469228055</v>
      </c>
      <c r="N197" s="16">
        <f t="shared" si="14"/>
        <v>0.69314718055994529</v>
      </c>
      <c r="O197" s="16">
        <f t="shared" si="15"/>
        <v>2.5649493574615367</v>
      </c>
      <c r="P197" s="5" t="s">
        <v>342</v>
      </c>
    </row>
    <row r="198" spans="1:16" ht="57.6" x14ac:dyDescent="0.3">
      <c r="A198">
        <v>197</v>
      </c>
      <c r="B198" t="s">
        <v>4</v>
      </c>
      <c r="C198" t="s">
        <v>5</v>
      </c>
      <c r="D198" s="1" t="s">
        <v>331</v>
      </c>
      <c r="E198">
        <v>126234</v>
      </c>
      <c r="F198" s="4">
        <v>9400</v>
      </c>
      <c r="G198">
        <v>2</v>
      </c>
      <c r="H198">
        <v>0</v>
      </c>
      <c r="I198">
        <v>0</v>
      </c>
      <c r="J198">
        <v>1</v>
      </c>
      <c r="K198">
        <v>4.9000000000000004</v>
      </c>
      <c r="L198" s="16">
        <f t="shared" si="16"/>
        <v>9.1484649682580947</v>
      </c>
      <c r="M198" s="16">
        <f t="shared" si="13"/>
        <v>1.7749523509116738</v>
      </c>
      <c r="N198" s="16">
        <f t="shared" si="14"/>
        <v>0</v>
      </c>
      <c r="O198" s="16">
        <f t="shared" si="15"/>
        <v>0</v>
      </c>
      <c r="P198" s="5" t="s">
        <v>343</v>
      </c>
    </row>
    <row r="199" spans="1:16" s="20" customFormat="1" ht="43.2" x14ac:dyDescent="0.3">
      <c r="A199">
        <v>198</v>
      </c>
      <c r="B199" s="20" t="s">
        <v>4</v>
      </c>
      <c r="C199" s="20" t="s">
        <v>5</v>
      </c>
      <c r="D199" s="21" t="s">
        <v>350</v>
      </c>
      <c r="E199">
        <v>126234</v>
      </c>
      <c r="F199" s="22">
        <v>11999</v>
      </c>
      <c r="G199" s="20">
        <v>2</v>
      </c>
      <c r="H199" s="20">
        <v>0</v>
      </c>
      <c r="I199" s="20">
        <v>0</v>
      </c>
      <c r="J199" s="20">
        <v>1</v>
      </c>
      <c r="K199" s="20">
        <v>4.9000000000000004</v>
      </c>
      <c r="L199" s="23">
        <f t="shared" si="16"/>
        <v>9.3925785919643889</v>
      </c>
      <c r="M199" s="23">
        <f t="shared" si="13"/>
        <v>1.7749523509116738</v>
      </c>
      <c r="N199" s="23">
        <f t="shared" si="14"/>
        <v>0</v>
      </c>
      <c r="O199" s="23">
        <f t="shared" si="15"/>
        <v>0</v>
      </c>
      <c r="P199" s="24" t="s">
        <v>351</v>
      </c>
    </row>
    <row r="200" spans="1:16" s="20" customFormat="1" ht="72" x14ac:dyDescent="0.3">
      <c r="A200">
        <v>199</v>
      </c>
      <c r="B200" s="20" t="s">
        <v>4</v>
      </c>
      <c r="C200" s="20" t="s">
        <v>5</v>
      </c>
      <c r="D200" s="21" t="s">
        <v>352</v>
      </c>
      <c r="E200">
        <v>126234</v>
      </c>
      <c r="F200" s="22">
        <v>10999</v>
      </c>
      <c r="G200" s="20">
        <v>2</v>
      </c>
      <c r="H200" s="20">
        <v>0</v>
      </c>
      <c r="I200" s="20">
        <v>0</v>
      </c>
      <c r="J200" s="20">
        <v>1</v>
      </c>
      <c r="K200" s="20">
        <v>4.8</v>
      </c>
      <c r="L200" s="23">
        <f t="shared" si="16"/>
        <v>9.3055596385571171</v>
      </c>
      <c r="M200" s="23">
        <f t="shared" si="13"/>
        <v>1.7578579175523736</v>
      </c>
      <c r="N200" s="23">
        <f t="shared" si="14"/>
        <v>0</v>
      </c>
      <c r="O200" s="23">
        <f t="shared" si="15"/>
        <v>0</v>
      </c>
      <c r="P200" s="5" t="s">
        <v>353</v>
      </c>
    </row>
    <row r="201" spans="1:16" s="20" customFormat="1" ht="72" x14ac:dyDescent="0.3">
      <c r="A201">
        <v>200</v>
      </c>
      <c r="B201" s="20" t="s">
        <v>4</v>
      </c>
      <c r="C201" s="20" t="s">
        <v>5</v>
      </c>
      <c r="D201" s="21" t="s">
        <v>354</v>
      </c>
      <c r="E201">
        <v>126234</v>
      </c>
      <c r="F201" s="22">
        <v>14400</v>
      </c>
      <c r="G201" s="20">
        <v>2</v>
      </c>
      <c r="H201" s="20">
        <v>0</v>
      </c>
      <c r="I201" s="20">
        <v>0</v>
      </c>
      <c r="J201" s="20">
        <v>1</v>
      </c>
      <c r="K201" s="20">
        <v>5</v>
      </c>
      <c r="L201" s="23">
        <f t="shared" si="16"/>
        <v>9.5749834855640916</v>
      </c>
      <c r="M201" s="23">
        <f t="shared" si="13"/>
        <v>1.791759469228055</v>
      </c>
      <c r="N201" s="23">
        <f t="shared" si="14"/>
        <v>0</v>
      </c>
      <c r="O201" s="23">
        <f t="shared" si="15"/>
        <v>0</v>
      </c>
      <c r="P201" s="5" t="s">
        <v>355</v>
      </c>
    </row>
  </sheetData>
  <phoneticPr fontId="2" type="noConversion"/>
  <hyperlinks>
    <hyperlink ref="P35" r:id="rId1" xr:uid="{AACAEA3F-156B-448A-B040-ACF25A96A2EF}"/>
    <hyperlink ref="P36" r:id="rId2" xr:uid="{77B990A0-478C-4397-92DC-54F550AE1E1C}"/>
    <hyperlink ref="P37" r:id="rId3" xr:uid="{3629D3EF-8FAA-4FBA-B809-AA77ABB354EB}"/>
    <hyperlink ref="P38" r:id="rId4" xr:uid="{71B6AC89-803B-46C2-B03C-0A5E352C6570}"/>
    <hyperlink ref="P39" r:id="rId5" xr:uid="{009B28AC-5172-4261-926D-54F0264ED830}"/>
    <hyperlink ref="P40" r:id="rId6" xr:uid="{167F4C59-4710-4E0C-9E7C-32AF3639B1BA}"/>
    <hyperlink ref="P41" r:id="rId7" xr:uid="{EC1896EA-B5A7-4C81-BD07-2BC6AF9A5036}"/>
    <hyperlink ref="P42" r:id="rId8" xr:uid="{CA55E24F-D317-42C4-8D89-F078EEF9E3B3}"/>
    <hyperlink ref="P43" r:id="rId9" xr:uid="{587C15AE-AA63-4814-8255-319E2FE6E80B}"/>
    <hyperlink ref="P44" r:id="rId10" xr:uid="{562560FA-C351-4D54-84A2-A99D1C7FEEDA}"/>
    <hyperlink ref="P45" r:id="rId11" xr:uid="{AFF4D2F7-0F47-4190-A78D-BEE19A593914}"/>
    <hyperlink ref="P46" r:id="rId12" xr:uid="{FDBCAF9D-4C4F-4791-AEE5-8ABF47D500C0}"/>
    <hyperlink ref="P48" r:id="rId13" xr:uid="{9B4B10DD-8502-448A-82BA-D1B942A6EA38}"/>
    <hyperlink ref="P49" r:id="rId14" xr:uid="{BB0FBB16-ADC6-47C1-8396-1DF089579505}"/>
    <hyperlink ref="P50" r:id="rId15" xr:uid="{229F7C7A-2A85-4061-9702-BCF23517E153}"/>
    <hyperlink ref="P13" r:id="rId16" xr:uid="{E5C6C480-03C3-4960-B882-CC635DA2AF47}"/>
    <hyperlink ref="P4" r:id="rId17" xr:uid="{0DA7783C-1D8C-446D-A2D9-5E032419562F}"/>
    <hyperlink ref="P2" r:id="rId18" xr:uid="{0514141E-0B4D-4D24-AA16-52BDAE9123E5}"/>
    <hyperlink ref="P26" r:id="rId19" xr:uid="{6EE491B7-CC88-4B91-A5AE-50CA4AC88DBE}"/>
    <hyperlink ref="P12" r:id="rId20" xr:uid="{3D76889E-60BD-427E-9581-E7C9282ED1DF}"/>
    <hyperlink ref="P6" r:id="rId21" xr:uid="{D88269EF-62BE-4444-B717-A55207CC6C2F}"/>
    <hyperlink ref="P5" r:id="rId22" xr:uid="{4936C2B3-1461-4C26-8385-F464FCD438D7}"/>
    <hyperlink ref="P51" r:id="rId23" xr:uid="{E99B0EC7-873F-447D-9FF2-08AA08B6B2B6}"/>
    <hyperlink ref="P52" r:id="rId24" xr:uid="{04B4DD8C-F692-4E89-97AB-F72848C3F2FB}"/>
    <hyperlink ref="P53" r:id="rId25" xr:uid="{CE70A635-915B-4345-B228-C6B1CF489C45}"/>
    <hyperlink ref="P7" r:id="rId26" xr:uid="{CEA534B0-B321-4D66-A76B-7BA7FB705E5F}"/>
    <hyperlink ref="P54" r:id="rId27" xr:uid="{D152D684-13C6-40B6-84B1-13BD2D23ACE9}"/>
    <hyperlink ref="P55" r:id="rId28" xr:uid="{A70EA59A-D2E6-4A0B-A1B3-7754E5B900BD}"/>
    <hyperlink ref="P56" r:id="rId29" xr:uid="{C5F8835B-2E31-4BF4-983F-024EF36C19F9}"/>
    <hyperlink ref="P57" r:id="rId30" xr:uid="{3BD688B2-BE10-467F-BDC1-61956975A92E}"/>
    <hyperlink ref="P58" r:id="rId31" xr:uid="{2291E0A2-2850-483B-9611-D34A1EC3F97A}"/>
    <hyperlink ref="P59" r:id="rId32" xr:uid="{76960659-06F2-4282-8FED-42F5D8A14F7D}"/>
    <hyperlink ref="P60" r:id="rId33" xr:uid="{F6917CE8-C43D-4C74-9941-7000B8905E05}"/>
    <hyperlink ref="P61" r:id="rId34" xr:uid="{AEB7B330-31DD-454F-A0FC-BA4DAEA8B6FA}"/>
    <hyperlink ref="P62" r:id="rId35" xr:uid="{67F8FF2A-F038-430C-A86B-FE7F8E07E643}"/>
    <hyperlink ref="P63" r:id="rId36" xr:uid="{E6CD2862-33F4-42DB-9971-3F4A1A9C3852}"/>
    <hyperlink ref="P64" r:id="rId37" xr:uid="{DE95644E-30AF-42D6-9D9C-D0ECCBB9E465}"/>
    <hyperlink ref="P65" r:id="rId38" xr:uid="{DE57AD8F-2792-4555-A006-FE4F389F5763}"/>
    <hyperlink ref="P66" r:id="rId39" xr:uid="{386B6C1C-0A73-461C-A5B0-E33F3C40981D}"/>
    <hyperlink ref="P67" r:id="rId40" xr:uid="{D749A6A0-3B3A-40B4-92E2-4BB0EE429008}"/>
    <hyperlink ref="P25" r:id="rId41" xr:uid="{D3A2095F-6D72-40CC-8EBF-DEB5FF5223CC}"/>
    <hyperlink ref="P31" r:id="rId42" xr:uid="{D97A6FD6-40CF-4D99-9531-403212CA7EB2}"/>
    <hyperlink ref="P32" r:id="rId43" xr:uid="{666504E9-784B-4D72-A0ED-F4F9261B411B}"/>
    <hyperlink ref="P3" r:id="rId44" xr:uid="{72C2BFC3-1946-4FB9-B6AB-D6480CAE0087}"/>
    <hyperlink ref="P15" r:id="rId45" xr:uid="{EF4B268B-6490-426E-B850-BAB307F0000C}"/>
    <hyperlink ref="P68" r:id="rId46" xr:uid="{6E3DB418-3FBA-4F84-A591-21FC3E231FC0}"/>
    <hyperlink ref="P69" r:id="rId47" xr:uid="{FF920327-092C-4E71-A09E-15CB098E456A}"/>
    <hyperlink ref="P70" r:id="rId48" xr:uid="{FEB4F597-07E0-4C51-87B3-C272AA359197}"/>
    <hyperlink ref="P71" r:id="rId49" xr:uid="{903AC781-51A6-4DBA-A980-7D2AD3D390B7}"/>
    <hyperlink ref="P72" r:id="rId50" xr:uid="{1BDF05E7-0F80-4622-834F-8F06C448D9ED}"/>
    <hyperlink ref="P73" r:id="rId51" xr:uid="{5F71B76A-5D57-47F5-A5B4-A14C151E3A39}"/>
    <hyperlink ref="P74" r:id="rId52" xr:uid="{5951DCA7-F027-4C5E-94CD-AE8C1B1E333F}"/>
    <hyperlink ref="P75" r:id="rId53" xr:uid="{F9BF1B01-31B3-480C-BACD-473528CDEF2D}"/>
    <hyperlink ref="P76" r:id="rId54" xr:uid="{F8BE4D5A-8001-4F01-9584-95D5180C784E}"/>
    <hyperlink ref="P77" r:id="rId55" xr:uid="{BBF7B0DA-0FF5-4CC9-A001-99F159C0B23C}"/>
    <hyperlink ref="P78" r:id="rId56" xr:uid="{99B0046F-F3D2-4B26-B55C-2C6993BFDC2E}"/>
    <hyperlink ref="P79" r:id="rId57" xr:uid="{82EECF35-6677-450F-B1B6-A93F9E498DCA}"/>
    <hyperlink ref="P80" r:id="rId58" xr:uid="{6A4929C0-F2A5-438E-BA3B-E6AC8FA0B477}"/>
    <hyperlink ref="P81" r:id="rId59" xr:uid="{10EF8FB1-F0F3-4882-B3FA-1A5D653B73C3}"/>
    <hyperlink ref="P82" r:id="rId60" xr:uid="{132CE007-D68F-44FF-AB97-9C2BDB56145A}"/>
    <hyperlink ref="P83" r:id="rId61" xr:uid="{14F5CC7E-0B92-4E44-994E-3A0906DD639C}"/>
    <hyperlink ref="P84" r:id="rId62" xr:uid="{9EADED01-00F9-4DE0-AE6B-A75BDDA1CF8B}"/>
    <hyperlink ref="P85" r:id="rId63" xr:uid="{1105DC43-4473-4FD9-9FAC-138EE40C7B93}"/>
    <hyperlink ref="P86" r:id="rId64" xr:uid="{7125C078-38B4-4614-9276-EF0042BD1347}"/>
    <hyperlink ref="P87" r:id="rId65" xr:uid="{AF20E76D-9AF5-47A8-80B9-26AFDF1AB314}"/>
    <hyperlink ref="P88" r:id="rId66" xr:uid="{B0BD37DF-447E-41F5-8224-ECD2CC61D76A}"/>
    <hyperlink ref="P89" r:id="rId67" xr:uid="{3C0EBE31-878E-4805-AB81-E1B671EE3E5D}"/>
    <hyperlink ref="P90" r:id="rId68" xr:uid="{6E5CDA21-3920-41BC-86D8-8D03B27B363E}"/>
    <hyperlink ref="P91" r:id="rId69" xr:uid="{4CBFB8F8-1FF8-4960-B1FE-8B6BB309F782}"/>
    <hyperlink ref="P92" r:id="rId70" xr:uid="{A2A3E614-37E0-4024-A26E-2731E26F9FE6}"/>
    <hyperlink ref="P93" r:id="rId71" xr:uid="{FCC318C4-5C4E-49FD-9F2F-7D08F69A9E0C}"/>
    <hyperlink ref="P94" r:id="rId72" xr:uid="{ED11066A-DA27-42E2-B040-02700AD5ABFD}"/>
    <hyperlink ref="P95" r:id="rId73" xr:uid="{517A8541-BE0B-463A-A5EE-1832A5519C8C}"/>
    <hyperlink ref="P96" r:id="rId74" xr:uid="{A58DC61E-F4F1-4ED6-A59D-15AD6FEB07D5}"/>
    <hyperlink ref="P97" r:id="rId75" xr:uid="{9962839D-0F29-4948-A7FA-C3DC41BA83FE}"/>
    <hyperlink ref="P98" r:id="rId76" xr:uid="{A343B943-580F-4F91-970B-A8947C7ABB0F}"/>
    <hyperlink ref="P29" r:id="rId77" xr:uid="{673C2853-69AF-4F2E-BB34-E15DA6A7ECE9}"/>
    <hyperlink ref="P99" r:id="rId78" xr:uid="{E5EC3563-99DC-4E99-BB2F-72C99481E2A4}"/>
    <hyperlink ref="P100" r:id="rId79" xr:uid="{5481AC48-4C56-4099-84B6-9A05A913AC0D}"/>
    <hyperlink ref="P101" r:id="rId80" xr:uid="{9D3624DA-309E-450E-BCB8-38C94ABD9603}"/>
    <hyperlink ref="P102" r:id="rId81" xr:uid="{F00988FF-38F7-4857-9D71-29FEE85A445B}"/>
    <hyperlink ref="P103" r:id="rId82" xr:uid="{55FD1A2C-297F-4FF4-A471-C5B30AFAB8A0}"/>
    <hyperlink ref="P104" r:id="rId83" xr:uid="{BDB24101-1832-4289-B880-4DA762B313F6}"/>
    <hyperlink ref="P30" r:id="rId84" xr:uid="{FE63F195-4B4F-4FF8-B1FC-FFDA530B03C5}"/>
    <hyperlink ref="P105" r:id="rId85" xr:uid="{8616EAB0-233A-4919-8EA7-C3349F4AA14A}"/>
    <hyperlink ref="P106" r:id="rId86" xr:uid="{ABF4F120-8981-4622-8DE6-769A46D30A0C}"/>
    <hyperlink ref="P107" r:id="rId87" xr:uid="{713B948B-BB3C-47D9-9C71-2E08EE9C86C2}"/>
    <hyperlink ref="P108" r:id="rId88" xr:uid="{B15126CC-E866-4AD8-985A-CE3BE29D3F34}"/>
    <hyperlink ref="P109" r:id="rId89" xr:uid="{F9B3339F-AD0B-44AA-B0F0-0AEBBFA151EB}"/>
    <hyperlink ref="P110" r:id="rId90" xr:uid="{1661701C-82C1-47AD-8CE8-65A903785A01}"/>
    <hyperlink ref="P111" r:id="rId91" xr:uid="{5E87AC22-29F8-4BEA-B194-44D81A545411}"/>
    <hyperlink ref="P112" r:id="rId92" xr:uid="{EEE63132-08B0-4E70-B408-FB800E8E9065}"/>
    <hyperlink ref="P113" r:id="rId93" xr:uid="{8D1B6240-A72C-41B9-B9C5-91F7AB192AA4}"/>
    <hyperlink ref="P114" r:id="rId94" xr:uid="{4855FCD2-FE89-4F9B-8881-6B04885A3724}"/>
    <hyperlink ref="P115" r:id="rId95" xr:uid="{1FD96B33-AC7C-43BF-8A08-3715DFDAF67B}"/>
    <hyperlink ref="P116" r:id="rId96" xr:uid="{F2803560-E181-4857-8F35-FAEBDC885181}"/>
    <hyperlink ref="P117" r:id="rId97" xr:uid="{0373E0C9-FFA2-4521-AF3F-98A21E686262}"/>
    <hyperlink ref="P118" r:id="rId98" xr:uid="{5967FD15-1324-444C-878B-1C76CAF7B4A1}"/>
    <hyperlink ref="P119" r:id="rId99" xr:uid="{1957ECB7-FB2A-4D53-9B5A-DC3E3598B333}"/>
    <hyperlink ref="P120" r:id="rId100" xr:uid="{1EB5DC98-3178-4A5D-A805-36A1256C9CE2}"/>
    <hyperlink ref="P121" r:id="rId101" xr:uid="{E2B55738-4AAD-4DFA-BBDE-7B4D7CF3963E}"/>
    <hyperlink ref="P122" r:id="rId102" xr:uid="{F9AF8048-BD6C-49CC-8515-CFA6A4CFEC88}"/>
    <hyperlink ref="P123" r:id="rId103" xr:uid="{693ABD95-620F-4870-A54F-BFFF3EE000C0}"/>
    <hyperlink ref="P124" r:id="rId104" xr:uid="{BBB4F196-E22A-4BA3-80E8-2B142943B5F9}"/>
    <hyperlink ref="P125" r:id="rId105" xr:uid="{C632B098-6B67-4DDF-A315-B6F23E1C7F6A}"/>
    <hyperlink ref="P126" r:id="rId106" xr:uid="{CBB3ED07-66FA-470C-A120-5CDC94C97DB5}"/>
    <hyperlink ref="P127" r:id="rId107" xr:uid="{505030CD-4C31-423B-A8DA-A1D79386A144}"/>
    <hyperlink ref="P128" r:id="rId108" xr:uid="{68FF1986-87CC-4CC0-AB94-AB345F9BB3CA}"/>
    <hyperlink ref="P129" r:id="rId109" xr:uid="{096C955C-A991-4846-BD7C-6C267FAA5A33}"/>
    <hyperlink ref="P130" r:id="rId110" xr:uid="{8F9C4197-1417-4FDA-9EA3-772E85008742}"/>
    <hyperlink ref="P131" r:id="rId111" xr:uid="{7BE1787C-DDB8-403E-9F95-015D6926444F}"/>
    <hyperlink ref="P132" r:id="rId112" xr:uid="{DB9588EA-5A5B-4C0D-AEF5-EEC3999C7F83}"/>
    <hyperlink ref="P133" r:id="rId113" xr:uid="{767D8230-5B56-4C00-90C0-D66232D80CBA}"/>
    <hyperlink ref="P134" r:id="rId114" xr:uid="{556B6C08-059B-4990-83CB-BB0BE9023588}"/>
    <hyperlink ref="P135" r:id="rId115" xr:uid="{709D5288-9828-400D-86FC-4E57DE84E409}"/>
    <hyperlink ref="P136" r:id="rId116" xr:uid="{A0DA11CC-1C33-4B9C-ACAC-259FCA10F1CD}"/>
    <hyperlink ref="P137" r:id="rId117" xr:uid="{3B6B98D6-A281-411D-A958-F8E17DE0E6F9}"/>
    <hyperlink ref="P138" r:id="rId118" xr:uid="{540C8E64-6F2E-46DF-8883-9DAA7A745F5D}"/>
    <hyperlink ref="P139" r:id="rId119" xr:uid="{591AB4B7-F260-4B68-B591-584F8B61A7B8}"/>
    <hyperlink ref="P140" r:id="rId120" xr:uid="{7456D913-F276-4201-82D6-891377F4B073}"/>
    <hyperlink ref="P141" r:id="rId121" xr:uid="{587E3D6E-D251-4175-8C18-5D46C5134D7F}"/>
    <hyperlink ref="P142" r:id="rId122" xr:uid="{982AEAB2-7B8F-4D43-8ADA-F00C6ED51B9F}"/>
    <hyperlink ref="P143" r:id="rId123" xr:uid="{2EBF474F-D471-4663-9FD3-BB273F9D8C08}"/>
    <hyperlink ref="P144" r:id="rId124" xr:uid="{8FE3E435-2083-4C18-8917-F291BF6D8F47}"/>
    <hyperlink ref="P145" r:id="rId125" xr:uid="{C0B66433-4C42-46C6-ADE2-EC392EFA0FFB}"/>
    <hyperlink ref="P146" r:id="rId126" xr:uid="{259AA7FF-2074-4209-BF3B-E9FCA48109CD}"/>
    <hyperlink ref="P147" r:id="rId127" xr:uid="{996685CA-2738-480A-B47C-5C172E725E86}"/>
    <hyperlink ref="P148" r:id="rId128" xr:uid="{5FA09478-AA39-4621-9BAE-BF63282999C0}"/>
    <hyperlink ref="P149" r:id="rId129" xr:uid="{6D5B82FE-57E7-49DD-A72A-9D8971BB1954}"/>
    <hyperlink ref="P150" r:id="rId130" xr:uid="{8662802E-A8DA-44C8-B53D-D9F07E6D65AD}"/>
    <hyperlink ref="P151" r:id="rId131" xr:uid="{CC3F7789-68B5-48A2-B834-21FA7AD2071D}"/>
    <hyperlink ref="P152" r:id="rId132" xr:uid="{87A5FE1E-6126-49FE-9C84-C035F53D76F3}"/>
    <hyperlink ref="P153" r:id="rId133" xr:uid="{54AA6DEE-8CF8-40CD-BB87-8D206900B95F}"/>
    <hyperlink ref="P154" r:id="rId134" xr:uid="{EAF1E1B7-7DF5-45DF-9965-B26E135D27F6}"/>
    <hyperlink ref="P155" r:id="rId135" xr:uid="{1F39E791-EFC9-48AC-A29A-D96A8157120D}"/>
    <hyperlink ref="P156" r:id="rId136" xr:uid="{E05B7EE3-4B13-487D-AFA8-F79639F5F087}"/>
    <hyperlink ref="P158" r:id="rId137" xr:uid="{FFAE4DED-EFAA-4FA4-8F1E-7CC677E4D769}"/>
    <hyperlink ref="P159" r:id="rId138" xr:uid="{817AA002-D242-42AF-9455-AFA27D604A18}"/>
    <hyperlink ref="P160" r:id="rId139" display="https://www.chrono24.com/rolex/datejust-36--id42820388.htm" xr:uid="{2FA2DCFC-13D3-4403-9D2C-370A8812525A}"/>
    <hyperlink ref="P161" r:id="rId140" xr:uid="{AD3C0B76-8ED9-432B-B837-DA9D3E690D29}"/>
    <hyperlink ref="P162" r:id="rId141" display="https://www.chrono24.com/rolex/datejust-36--id41623893.htm" xr:uid="{502A5617-8367-4011-8473-366A54E993E2}"/>
    <hyperlink ref="P163" r:id="rId142" display="https://www.chrono24.com/rolex/datejust-36--id36605427.htm" xr:uid="{69490600-1384-491A-A50E-DEDC995B3CDC}"/>
    <hyperlink ref="P164" r:id="rId143" display="https://www.chrono24.com/rolex/datejust-36--id42737328.htm" xr:uid="{B39852D0-E195-4D5F-BA8A-F1B8946F783F}"/>
    <hyperlink ref="P165" r:id="rId144" xr:uid="{96E1A5C3-B2D9-4905-BD4E-E54A735A0ECA}"/>
    <hyperlink ref="P166" r:id="rId145" display="https://www.chrono24.com/rolex/rolex-datejust-36--id40355332.htm" xr:uid="{E5B47558-57D0-4D53-8699-286C145078E1}"/>
    <hyperlink ref="P167" r:id="rId146" display="https://www.chrono24.com/rolex/rolex-datejust-36--id42896067.htm" xr:uid="{77DBFF1A-4ED9-4066-BECF-4905D8E239F8}"/>
    <hyperlink ref="P168" r:id="rId147" display="https://www.chrono24.com/rolex/rolex-datejust-36--id43632631.htm" xr:uid="{BCEB971F-73D8-4B18-8A5C-28B6DBF9B692}"/>
    <hyperlink ref="P169" r:id="rId148" display="https://www.chrono24.com/rolex/datejust-36--id43572190.htm" xr:uid="{4BE0BB39-9195-45E2-88C1-3442DFDA9D06}"/>
    <hyperlink ref="P170" r:id="rId149" display="https://www.chrono24.com/rolex/datejust-36--id43653327.htm" xr:uid="{EF829F19-81BC-4F6C-A15B-325E7C1749FD}"/>
    <hyperlink ref="P171" r:id="rId150" display="https://www.chrono24.com/rolex/datejust-36--id43739622.htm" xr:uid="{49BBFE7C-0F4B-4720-8CB7-C954A451C4F2}"/>
    <hyperlink ref="P172" r:id="rId151" display="https://www.chrono24.com/rolex/rolex-rolex-datejust-36-mother-of-pearl-diamonds-full-set--id43332712.htm" xr:uid="{76FF8F64-0DA8-4701-B073-0C45A4CAD669}"/>
    <hyperlink ref="P173" r:id="rId152" display="https://www.chrono24.com/rolex/datejust--id34604201.htm" xr:uid="{B1061242-E85E-4ACE-92F4-5CCBF8529D92}"/>
    <hyperlink ref="P174" r:id="rId153" display="https://www.chrono24.com/rolex/datejust-36--id33109779.htm" xr:uid="{7BEE6FD1-4C1C-4B2D-9EED-7022FA6C2E21}"/>
    <hyperlink ref="P175" r:id="rId154" display="https://www.chrono24.com/rolex/rolex-datejust-36--id26067925.htm" xr:uid="{DA570684-029D-4F7D-A2DA-50503CADFDA6}"/>
    <hyperlink ref="P176" r:id="rId155" display="https://www.chrono24.com/rolex/datejust-36--id24918720.htm" xr:uid="{F14D07ED-3AAF-4F99-9CFE-6D6DD1A9F747}"/>
    <hyperlink ref="P177" r:id="rId156" display="https://www.chrono24.com/rolex/datejust-36--id34496390.htm" xr:uid="{FF1F6D7B-687C-4AD7-BBFF-EB5C59224509}"/>
    <hyperlink ref="P178" r:id="rId157" display="https://www.chrono24.com/rolex/rolex-datejust-36--id43600438.htm" xr:uid="{6499BB76-E498-448B-BDAE-E357489DE3EB}"/>
    <hyperlink ref="P179" r:id="rId158" display="https://www.chrono24.com/rolex/rolex-datejust-36--id43599841.htm" xr:uid="{C4C0585A-1F94-4CAA-BEAA-1FE357B8C351}"/>
    <hyperlink ref="P180" r:id="rId159" display="https://www.chrono24.com/rolex/rolex-datejust-36--id27977763.htm" xr:uid="{F0B77A45-598A-4148-91F3-45A3E384F7D8}"/>
    <hyperlink ref="P181" r:id="rId160" display="https://www.chrono24.com/rolex/rolex-datejust-36--id43669280.htm" xr:uid="{B85D2313-8E7F-4A6E-9B6E-474DEE46EF48}"/>
    <hyperlink ref="P182" r:id="rId161" display="https://www.chrono24.com/rolex/datejust-36--id43623624.htm?searchHash=592ca400_VlXMkH&amp;pos=19" xr:uid="{1FB4FD15-C2C6-4572-A549-7B822BBDE8E5}"/>
    <hyperlink ref="P183" r:id="rId162" display="https://www.chrono24.com/rolex/rolex-datejust-36-viix-diamond-126234-silver-roman-3-row-oyster-bracelet-random-number-used-mens--id40464466.htm" xr:uid="{15D73848-A65B-426A-9E8D-44816BE8001D}"/>
    <hyperlink ref="P184" r:id="rId163" display="https://www.chrono24.com/rolex/datejust-126234-steel-36mm-silver-index-dial-jubilee-bracelet-complete--id38925343.htm" xr:uid="{88516DF9-12A0-4CC1-AAE3-BEE160764C1C}"/>
    <hyperlink ref="P185" r:id="rId164" display="https://www.chrono24.com/rolex/datejust-36--id43023468.htm" xr:uid="{DC26026B-6158-4D28-97A6-A59EB5B510A0}"/>
    <hyperlink ref="P157" r:id="rId165" display="https://www.chrono24.com/rolex/datejust-36mm-126234-mint-green-dial-fluted-jubilee-2022--id44285109.htm" xr:uid="{45E6DD64-D5E0-48B5-A72E-F0E69D48736D}"/>
    <hyperlink ref="P186" r:id="rId166" display="https://www.chrono24.com/rolex/datejust-36--id43788967.htm" xr:uid="{79654457-9645-450D-B5AA-66B793075961}"/>
    <hyperlink ref="P187" r:id="rId167" display="https://www.chrono24.com/rolex/rolex-datejust-36-like-new--id39419327.htm" xr:uid="{E6F9913F-B7E6-4DE2-AAFD-B7EF67DF8BA6}"/>
    <hyperlink ref="P188" r:id="rId168" display="https://www.chrono24.com/rolex/datejust-36--id38814619.htm?searchHash=d825d36b_3aYMTb&amp;pos=1" xr:uid="{A4922546-A568-4A9E-8170-C52FEBF326F1}"/>
    <hyperlink ref="P192" r:id="rId169" display="https://www.chrono24.com/rolex/rolex-datejust-36--id43740334.htm?searchHash=ec5e30e5_8KUQUL&amp;pos=1" xr:uid="{4B88F2A9-DF7E-49A0-9BF2-B78258B6CAEB}"/>
    <hyperlink ref="P193" r:id="rId170" display="https://www.chrono24.com/rolex/datejust-36-jubilee-silver-diamond-dial--id44271438.htm?searchHash=2d3af47c_6Pom1m&amp;pos=201" xr:uid="{2C29603D-19AA-45EC-BF57-C90FB6E5A79F}"/>
    <hyperlink ref="P194" r:id="rId171" display="https://www.chrono24.com/rolex/rolex-datejust-36-36mm-126234-0017-bright-blue-index-dial--id43650183.htm?searchHash=d464c463_lypd0R&amp;pos=1" xr:uid="{570010DF-DECE-4F5B-91E6-054807835863}"/>
    <hyperlink ref="P195" r:id="rId172" display="https://www.chrono24.com/rolex/rolex-datejust-36--id43715536.htm?searchHash=26ad1bab_FS95ML&amp;pos=6" xr:uid="{33543607-773E-4A25-A187-A0C94EFC32AC}"/>
    <hyperlink ref="P196" r:id="rId173" display="https://www.chrono24.com/rolex/rolex-datejust-36--id43138372.htm" xr:uid="{7ECCD597-6EB7-4947-B1FB-8313EDED7AD3}"/>
    <hyperlink ref="P197" r:id="rId174" display="https://www.chrono24.com/rolex/--pre-owned-datejust-36-green-palm-motif-diamond-dial-oyster-bracelet-126234--id44232732.htm" xr:uid="{09A85270-9E97-4902-B0BB-1977723988A0}"/>
    <hyperlink ref="P198" r:id="rId175" display="https://www.chrono24.com/rolex/datejust-36--id43623624.htm" xr:uid="{98F6B137-D745-458F-BD70-C89919416E65}"/>
    <hyperlink ref="P189" r:id="rId176" xr:uid="{D6FAF84B-EFA5-40D6-940A-C8E63C7BDE3D}"/>
    <hyperlink ref="P190" r:id="rId177" display="https://www.chrono24.com/rolex/rolex-datejust-36--id44377980.htm" xr:uid="{6937D76C-914B-4C41-A4E5-F78E53A50D25}"/>
    <hyperlink ref="P191" r:id="rId178" xr:uid="{47D1D860-729D-419C-A69F-378A19BBBBFC}"/>
    <hyperlink ref="P199" r:id="rId179" xr:uid="{DAA94E7E-FAF2-4EE5-B561-ECBC2D46958C}"/>
    <hyperlink ref="P200" r:id="rId180" display="https://www.chrono24.com/rolex/rolex-datejust-36--id44563065.htm" xr:uid="{8E162721-3EDF-4608-BA26-1904936D0C38}"/>
    <hyperlink ref="P201" r:id="rId181" display="https://www.chrono24.com/rolex/rolex-datejust-36--id44043008.htm" xr:uid="{499C94C5-338E-404E-AA97-8CCCCA980881}"/>
  </hyperlinks>
  <pageMargins left="0.7" right="0.7" top="0.75" bottom="0.75" header="0.3" footer="0.3"/>
  <pageSetup orientation="portrait" r:id="rId1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Lekshmipriya Nair</dc:creator>
  <cp:lastModifiedBy>Lekshmipriya Nair</cp:lastModifiedBy>
  <dcterms:created xsi:type="dcterms:W3CDTF">2025-05-10T17:36:08Z</dcterms:created>
  <dcterms:modified xsi:type="dcterms:W3CDTF">2026-03-16T22:57:37Z</dcterms:modified>
</cp:coreProperties>
</file>